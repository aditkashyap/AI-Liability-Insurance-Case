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ditk\Downloads\"/>
    </mc:Choice>
  </mc:AlternateContent>
  <xr:revisionPtr revIDLastSave="0" documentId="13_ncr:1_{C2F2F231-ADEF-4C0A-B967-2C2156F06C70}" xr6:coauthVersionLast="47" xr6:coauthVersionMax="47" xr10:uidLastSave="{00000000-0000-0000-0000-000000000000}"/>
  <bookViews>
    <workbookView xWindow="-108" yWindow="-108" windowWidth="23256" windowHeight="12456" tabRatio="500" activeTab="2" xr2:uid="{00000000-000D-0000-FFFF-FFFF00000000}"/>
  </bookViews>
  <sheets>
    <sheet name="Read Me" sheetId="1" r:id="rId1"/>
    <sheet name="Exhibit A" sheetId="2" r:id="rId2"/>
    <sheet name="Exhibit B" sheetId="3" r:id="rId3"/>
    <sheet name="Exhibit C" sheetId="4" r:id="rId4"/>
  </sheets>
  <definedNames>
    <definedName name="_xlnm._FilterDatabase" localSheetId="2" hidden="1">'Exhibit B'!$A$2:$G$137</definedName>
  </definedNames>
  <calcPr calcId="191029" iterateDelta="1E-4"/>
  <pivotCaches>
    <pivotCache cacheId="134"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51" i="3" l="1"/>
  <c r="E150" i="3"/>
  <c r="E149" i="3"/>
  <c r="E148" i="3"/>
  <c r="E147" i="3"/>
  <c r="E146" i="3"/>
  <c r="E145" i="3"/>
  <c r="F150" i="3"/>
  <c r="F149" i="3"/>
  <c r="F148" i="3"/>
  <c r="F147" i="3"/>
  <c r="F146" i="3"/>
  <c r="F145" i="3"/>
  <c r="I171" i="3"/>
  <c r="K154" i="3"/>
  <c r="M162" i="3"/>
  <c r="O181" i="3"/>
  <c r="Q164" i="3"/>
  <c r="S173" i="3"/>
  <c r="S172" i="3"/>
  <c r="Q163" i="3"/>
  <c r="O180" i="3"/>
  <c r="M161" i="3"/>
  <c r="I170" i="3"/>
  <c r="K153" i="3"/>
  <c r="M67" i="2"/>
  <c r="M54" i="2"/>
  <c r="M41" i="2"/>
  <c r="M28" i="2"/>
  <c r="M15" i="2"/>
  <c r="M66" i="2"/>
  <c r="M53" i="2"/>
  <c r="M40" i="2"/>
  <c r="M27" i="2"/>
  <c r="M14" i="2"/>
  <c r="M65" i="2"/>
  <c r="M52" i="2"/>
  <c r="M39" i="2"/>
  <c r="M26" i="2"/>
  <c r="M13" i="2"/>
  <c r="B66" i="2"/>
  <c r="B53" i="2"/>
  <c r="B40" i="2"/>
  <c r="B27" i="2"/>
  <c r="B14" i="2"/>
  <c r="V88" i="2"/>
  <c r="T88" i="2"/>
  <c r="T87" i="2"/>
  <c r="P88" i="2"/>
  <c r="Q88" i="2"/>
  <c r="R88" i="2"/>
  <c r="S88" i="2"/>
  <c r="O88" i="2"/>
  <c r="S87" i="2"/>
  <c r="R87" i="2"/>
  <c r="Q87" i="2"/>
  <c r="P87" i="2"/>
  <c r="O87" i="2"/>
  <c r="H69" i="2"/>
  <c r="S86" i="2"/>
  <c r="R86" i="2"/>
  <c r="Q86" i="2"/>
  <c r="P86" i="2"/>
  <c r="O86" i="2"/>
  <c r="P8" i="3"/>
  <c r="B64" i="2"/>
  <c r="B51" i="2"/>
  <c r="B38" i="2"/>
  <c r="B25" i="2"/>
  <c r="B12" i="2"/>
  <c r="L62" i="2"/>
  <c r="K62" i="2"/>
  <c r="J62" i="2"/>
  <c r="I62" i="2"/>
  <c r="H62" i="2"/>
  <c r="L49" i="2"/>
  <c r="K49" i="2"/>
  <c r="J49" i="2"/>
  <c r="I49" i="2"/>
  <c r="H49" i="2"/>
  <c r="M49" i="2" s="1"/>
  <c r="L36" i="2"/>
  <c r="K36" i="2"/>
  <c r="J36" i="2"/>
  <c r="I36" i="2"/>
  <c r="H36" i="2"/>
  <c r="L23" i="2"/>
  <c r="K23" i="2"/>
  <c r="J23" i="2"/>
  <c r="I23" i="2"/>
  <c r="H23" i="2"/>
  <c r="I10" i="2"/>
  <c r="J10" i="2"/>
  <c r="K10" i="2"/>
  <c r="L10" i="2"/>
  <c r="H10" i="2"/>
  <c r="H60" i="2"/>
  <c r="H47" i="2"/>
  <c r="H34" i="2"/>
  <c r="H21" i="2"/>
  <c r="H8" i="2"/>
  <c r="I18" i="2"/>
  <c r="J18" i="2"/>
  <c r="K18" i="2"/>
  <c r="L18" i="2"/>
  <c r="H18" i="2"/>
  <c r="L58" i="2"/>
  <c r="K58" i="2"/>
  <c r="J58" i="2"/>
  <c r="I58" i="2"/>
  <c r="H58" i="2"/>
  <c r="M58" i="2" s="1"/>
  <c r="L57" i="2"/>
  <c r="L59" i="2" s="1"/>
  <c r="L63" i="2" s="1"/>
  <c r="K57" i="2"/>
  <c r="J57" i="2"/>
  <c r="I57" i="2"/>
  <c r="H57" i="2"/>
  <c r="L45" i="2"/>
  <c r="K45" i="2"/>
  <c r="J45" i="2"/>
  <c r="I45" i="2"/>
  <c r="H45" i="2"/>
  <c r="L44" i="2"/>
  <c r="K44" i="2"/>
  <c r="J44" i="2"/>
  <c r="I44" i="2"/>
  <c r="H44" i="2"/>
  <c r="L32" i="2"/>
  <c r="K32" i="2"/>
  <c r="J32" i="2"/>
  <c r="I32" i="2"/>
  <c r="H32" i="2"/>
  <c r="L31" i="2"/>
  <c r="K31" i="2"/>
  <c r="J31" i="2"/>
  <c r="I31" i="2"/>
  <c r="H31" i="2"/>
  <c r="L19" i="2"/>
  <c r="K19" i="2"/>
  <c r="J19" i="2"/>
  <c r="I19" i="2"/>
  <c r="H19" i="2"/>
  <c r="I5" i="2"/>
  <c r="I6" i="2"/>
  <c r="J6" i="2"/>
  <c r="K6" i="2"/>
  <c r="L6" i="2"/>
  <c r="H6" i="2"/>
  <c r="J5" i="2"/>
  <c r="K5" i="2"/>
  <c r="L5" i="2"/>
  <c r="H5" i="2"/>
  <c r="F62" i="2"/>
  <c r="E62" i="2"/>
  <c r="D62" i="2"/>
  <c r="C62" i="2"/>
  <c r="B62" i="2"/>
  <c r="F58" i="2"/>
  <c r="E58" i="2"/>
  <c r="D58" i="2"/>
  <c r="C58" i="2"/>
  <c r="B58" i="2"/>
  <c r="H61" i="2" s="1"/>
  <c r="F49" i="2"/>
  <c r="E49" i="2"/>
  <c r="D49" i="2"/>
  <c r="C49" i="2"/>
  <c r="B49" i="2"/>
  <c r="H51" i="2" s="1"/>
  <c r="F45" i="2"/>
  <c r="E45" i="2"/>
  <c r="D45" i="2"/>
  <c r="C45" i="2"/>
  <c r="B45" i="2"/>
  <c r="F36" i="2"/>
  <c r="E36" i="2"/>
  <c r="D36" i="2"/>
  <c r="C36" i="2"/>
  <c r="B36" i="2"/>
  <c r="H38" i="2" s="1"/>
  <c r="F32" i="2"/>
  <c r="E32" i="2"/>
  <c r="D32" i="2"/>
  <c r="C32" i="2"/>
  <c r="B32" i="2"/>
  <c r="H35" i="2" s="1"/>
  <c r="F23" i="2"/>
  <c r="E23" i="2"/>
  <c r="D23" i="2"/>
  <c r="C23" i="2"/>
  <c r="B23" i="2"/>
  <c r="F19" i="2"/>
  <c r="E19" i="2"/>
  <c r="D19" i="2"/>
  <c r="C19" i="2"/>
  <c r="B19" i="2"/>
  <c r="H22" i="2" s="1"/>
  <c r="F10" i="2"/>
  <c r="E10" i="2"/>
  <c r="D10" i="2"/>
  <c r="C10" i="2"/>
  <c r="B10" i="2"/>
  <c r="H12" i="2" s="1"/>
  <c r="F6" i="2"/>
  <c r="E6" i="2"/>
  <c r="D6" i="2"/>
  <c r="C6" i="2"/>
  <c r="B6" i="2"/>
  <c r="H9" i="2" s="1"/>
  <c r="H25" i="2" l="1"/>
  <c r="H64" i="2"/>
  <c r="M36" i="2"/>
  <c r="B65" i="2"/>
  <c r="M45" i="2"/>
  <c r="H48" i="2"/>
  <c r="L46" i="2"/>
  <c r="L50" i="2" s="1"/>
  <c r="K46" i="2"/>
  <c r="K50" i="2" s="1"/>
  <c r="I46" i="2"/>
  <c r="I50" i="2" s="1"/>
  <c r="B13" i="2"/>
  <c r="M31" i="2"/>
  <c r="B52" i="2"/>
  <c r="B39" i="2"/>
  <c r="B26" i="2"/>
  <c r="M10" i="2"/>
  <c r="K59" i="2"/>
  <c r="K63" i="2" s="1"/>
  <c r="M44" i="2"/>
  <c r="M32" i="2"/>
  <c r="K20" i="2"/>
  <c r="K24" i="2" s="1"/>
  <c r="L20" i="2"/>
  <c r="L24" i="2" s="1"/>
  <c r="M19" i="2"/>
  <c r="M23" i="2"/>
  <c r="J46" i="2"/>
  <c r="J50" i="2" s="1"/>
  <c r="H66" i="2"/>
  <c r="T86" i="2" s="1"/>
  <c r="J59" i="2"/>
  <c r="J63" i="2" s="1"/>
  <c r="J7" i="2"/>
  <c r="J11" i="2" s="1"/>
  <c r="K7" i="2"/>
  <c r="K11" i="2" s="1"/>
  <c r="L7" i="2"/>
  <c r="L11" i="2" s="1"/>
  <c r="M18" i="2"/>
  <c r="H20" i="2"/>
  <c r="H24" i="2" s="1"/>
  <c r="I20" i="2"/>
  <c r="J20" i="2"/>
  <c r="J24" i="2" s="1"/>
  <c r="H59" i="2"/>
  <c r="H46" i="2"/>
  <c r="K33" i="2"/>
  <c r="K37" i="2" s="1"/>
  <c r="J33" i="2"/>
  <c r="J37" i="2" s="1"/>
  <c r="I33" i="2"/>
  <c r="I37" i="2" s="1"/>
  <c r="H33" i="2"/>
  <c r="L33" i="2"/>
  <c r="L37" i="2" s="1"/>
  <c r="M62" i="2"/>
  <c r="I59" i="2"/>
  <c r="I63" i="2" s="1"/>
  <c r="M57" i="2"/>
  <c r="M5" i="2"/>
  <c r="I7" i="2"/>
  <c r="I11" i="2" s="1"/>
  <c r="M6" i="2"/>
  <c r="H7" i="2"/>
  <c r="H67" i="2" l="1"/>
  <c r="H68" i="2" s="1"/>
  <c r="H70" i="2" s="1"/>
  <c r="I24" i="2"/>
  <c r="M20" i="2"/>
  <c r="M24" i="2" s="1"/>
  <c r="H63" i="2"/>
  <c r="M59" i="2"/>
  <c r="M63" i="2" s="1"/>
  <c r="M46" i="2"/>
  <c r="M50" i="2" s="1"/>
  <c r="H50" i="2"/>
  <c r="H37" i="2"/>
  <c r="M33" i="2"/>
  <c r="M37" i="2" s="1"/>
  <c r="H11" i="2"/>
  <c r="M7" i="2"/>
  <c r="M11" i="2" s="1"/>
</calcChain>
</file>

<file path=xl/sharedStrings.xml><?xml version="1.0" encoding="utf-8"?>
<sst xmlns="http://schemas.openxmlformats.org/spreadsheetml/2006/main" count="1109" uniqueCount="492">
  <si>
    <t>How to Use These Exhibits</t>
  </si>
  <si>
    <t>TileShield Insurance (TSI) — Quantify Case Competition 2026: Brand New Market: AI Liability Insurance</t>
  </si>
  <si>
    <t>1.  What is in this workbook</t>
  </si>
  <si>
    <t>Exhibit A — TSI Financial Data</t>
  </si>
  <si>
    <t>Five years (2021–2025) of TSI's own results, split into its five lines of business: Errors &amp; Omissions (E&amp;O), Cyber Liability, Technology Products Liability, Commercial General Liability (CGL), and Commercial Auto Liability. Used for Assignment Q1 (assess TSI).</t>
  </si>
  <si>
    <t>Exhibit B — AI Incident Data</t>
  </si>
  <si>
    <t>135 external AI-failure incidents (2021–2025) with industry, failure type, human-oversight flag, and estimated insured loss (CAD). This is market/industry data, not TSI's own claims. Used for Assignment Q2 (is AI liability insurable?).</t>
  </si>
  <si>
    <t>Exhibit C — Market Landscape</t>
  </si>
  <si>
    <t>Competitor positioning, Canadian adoption data, and a policy-limit benchmark. Context for Assignment Q3 (the strategic recommendation).</t>
  </si>
  <si>
    <t xml:space="preserve">2.  Core insurance concepts </t>
  </si>
  <si>
    <t>Concept</t>
  </si>
  <si>
    <t>What it means</t>
  </si>
  <si>
    <t>Exposure</t>
  </si>
  <si>
    <t>The volume of insured business TSI covers, such as the number of commercial policies, insured companies, vehicles, or technology clients. It is the base used to measure how much risk TSI has taken on.</t>
  </si>
  <si>
    <t>Earned Premium</t>
  </si>
  <si>
    <t>The premium revenue TSI recognizes for coverage it has already provided during the year. This is the amount used to evaluate whether TSI collected enough premium to pay for claims and expenses.</t>
  </si>
  <si>
    <t>Claim Count</t>
  </si>
  <si>
    <t>The number of claims TSI records during the year. For AI-related or specialty commercial risks, claim count helps show whether incidents are becoming more frequent.</t>
  </si>
  <si>
    <t>Incurred Losses</t>
  </si>
  <si>
    <t>The estimated total cost of TSI’s claims for the year, including paid claims and reserves for unpaid claims. This shows the actual loss cost of TSI’s insured risks.</t>
  </si>
  <si>
    <t>Operating Expenses</t>
  </si>
  <si>
    <t>The costs TSI incurs to operate and manage its insurance business, including underwriting, claims management, commissions, data systems, and administration. These costs affect overall profitability.</t>
  </si>
  <si>
    <t>3.  Core insurance formulas</t>
  </si>
  <si>
    <t>Metric</t>
  </si>
  <si>
    <t>Formula</t>
  </si>
  <si>
    <t xml:space="preserve">What it measures </t>
  </si>
  <si>
    <t>Claim Frequency</t>
  </si>
  <si>
    <t>Claim Count ÷ Exposure</t>
  </si>
  <si>
    <t>How often claims occur per unit of exposure. Rising frequency means more claims are being filed against the same book of business.</t>
  </si>
  <si>
    <t>Average Severity</t>
  </si>
  <si>
    <t>Incurred Losses ÷ Claim Count</t>
  </si>
  <si>
    <t>The average cost of a claim once it occurs. Rising severity means each claim is getting more expensive.</t>
  </si>
  <si>
    <t>Pure Premium (Loss Cost)</t>
  </si>
  <si>
    <t>Frequency × Severity  =  Incurred Losses ÷ Exposure</t>
  </si>
  <si>
    <t>Expected loss per exposure unit. Bridges frequency and severity, and is the loss building block of a risk-based price.</t>
  </si>
  <si>
    <t>Loss Ratio</t>
  </si>
  <si>
    <t>Incurred Losses ÷ Earned Premium</t>
  </si>
  <si>
    <t>Share of premium paid back out as claims. Lower is better; a rising loss ratio signals losses outpacing pricing.</t>
  </si>
  <si>
    <t>Expense Ratio</t>
  </si>
  <si>
    <t>Operating Expenses ÷ Earned Premium</t>
  </si>
  <si>
    <t>Share of premium spent running the line (underwriting, admin, distribution).</t>
  </si>
  <si>
    <t>Combined Ratio</t>
  </si>
  <si>
    <t>Loss Ratio + Expense Ratio</t>
  </si>
  <si>
    <t>The headline profitability test. Below 100% = underwriting profit; above 100% = underwriting loss before investment income.</t>
  </si>
  <si>
    <t>TSI Financial Data</t>
  </si>
  <si>
    <t>Unit $1,000</t>
  </si>
  <si>
    <t>Errors &amp; Omissions</t>
  </si>
  <si>
    <t>Year</t>
  </si>
  <si>
    <t>Claim_Frequency</t>
  </si>
  <si>
    <t>Earned_Premium</t>
  </si>
  <si>
    <t>Claim_Count</t>
  </si>
  <si>
    <t>Incurred_Losses</t>
  </si>
  <si>
    <t>Average_Severity</t>
  </si>
  <si>
    <t>Operating_Expenses</t>
  </si>
  <si>
    <t>Cyber Liability</t>
  </si>
  <si>
    <t>Technology Products Liability</t>
  </si>
  <si>
    <t>Commercial General Liability</t>
  </si>
  <si>
    <t>Commercial Auto Liability</t>
  </si>
  <si>
    <t>AI Incident Data</t>
  </si>
  <si>
    <t>ID</t>
  </si>
  <si>
    <t>Title/Description</t>
  </si>
  <si>
    <t>Incident Date</t>
  </si>
  <si>
    <t>Industry</t>
  </si>
  <si>
    <t>Failure Type</t>
  </si>
  <si>
    <t>Human Oversight</t>
  </si>
  <si>
    <t>Estimated Insured Loss (CAD)</t>
  </si>
  <si>
    <t>AI-0001</t>
  </si>
  <si>
    <t>Mortgage-approval AI denied applications in racialized neighborhoods at higher rate</t>
  </si>
  <si>
    <t>21/03/2024</t>
  </si>
  <si>
    <t>Financial Services</t>
  </si>
  <si>
    <t>Algorithmic Bias</t>
  </si>
  <si>
    <t>Yes</t>
  </si>
  <si>
    <t>AI-0002</t>
  </si>
  <si>
    <t>AI scribe invented patient symptoms in discharge summary</t>
  </si>
  <si>
    <t>17/05/2025</t>
  </si>
  <si>
    <t>Healthcare</t>
  </si>
  <si>
    <t>Hallucinated Output</t>
  </si>
  <si>
    <t>No</t>
  </si>
  <si>
    <t>AI-0003</t>
  </si>
  <si>
    <t>Pharmacy AI assistant transmitted prescription data to unauthorized third party</t>
  </si>
  <si>
    <t>Privacy and Security</t>
  </si>
  <si>
    <t>AI-0004</t>
  </si>
  <si>
    <t>Clinical chatbot logged sensitive intake notes to public training dataset</t>
  </si>
  <si>
    <t>AI-0005</t>
  </si>
  <si>
    <t>Product recommendation AI fabricated specifications for listed items</t>
  </si>
  <si>
    <t>15/08/2025</t>
  </si>
  <si>
    <t>E-commerce</t>
  </si>
  <si>
    <t>AI-0006</t>
  </si>
  <si>
    <t>Credit-scoring AI used postal code as proxy for race, regulator fined lender</t>
  </si>
  <si>
    <t>27/07/2023</t>
  </si>
  <si>
    <t>AI-0007</t>
  </si>
  <si>
    <t>AI-generated phishing breached client portal of regional bank</t>
  </si>
  <si>
    <t>14/10/2021</t>
  </si>
  <si>
    <t>Cyber Exploitation via AI</t>
  </si>
  <si>
    <t>AI-0008</t>
  </si>
  <si>
    <t>AI copywriter produced misleading comparative advertising, regulator fined firm</t>
  </si>
  <si>
    <t>Marketing/Advertising</t>
  </si>
  <si>
    <t>Misinformation</t>
  </si>
  <si>
    <t>AI-0009</t>
  </si>
  <si>
    <t>AI press release hallucinated executive quotes</t>
  </si>
  <si>
    <t>AI-0010</t>
  </si>
  <si>
    <t>AI image generator created racially stereotyped campaign visuals</t>
  </si>
  <si>
    <t>17/12/2025</t>
  </si>
  <si>
    <t>AI-0011</t>
  </si>
  <si>
    <t>Diagnostic AI vendor breach leaked imaging data of 75,000 patients</t>
  </si>
  <si>
    <t>AI-0012</t>
  </si>
  <si>
    <t>EHR-integrated AI exposed mental health notes through prompt injection attack</t>
  </si>
  <si>
    <t>AI-0013</t>
  </si>
  <si>
    <t>Self-healing AI escalated outage by restarting healthy nodes</t>
  </si>
  <si>
    <t>17/07/2025</t>
  </si>
  <si>
    <t>Technology/SaaS</t>
  </si>
  <si>
    <t>Autonomous System Failure</t>
  </si>
  <si>
    <t>AI-0014</t>
  </si>
  <si>
    <t>AI-generated platform notification spread false outage information</t>
  </si>
  <si>
    <t>13/02/2023</t>
  </si>
  <si>
    <t>AI-0015</t>
  </si>
  <si>
    <t>Paralegal AI assistant fabricated quotes from real Supreme Court rulings</t>
  </si>
  <si>
    <t>Legal Services</t>
  </si>
  <si>
    <t>AI-0016</t>
  </si>
  <si>
    <t>AI-generated malware bypassed endpoint detection at SaaS provider</t>
  </si>
  <si>
    <t>AI-0017</t>
  </si>
  <si>
    <t>Skills-matching AI excluded candidates with disability accommodations</t>
  </si>
  <si>
    <t>14/05/2025</t>
  </si>
  <si>
    <t>HR/Recruiting</t>
  </si>
  <si>
    <t>AI-0018</t>
  </si>
  <si>
    <t>Law firm's AI intake bot leaked client conflict-check data</t>
  </si>
  <si>
    <t>22/12/2025</t>
  </si>
  <si>
    <t>AI-0019</t>
  </si>
  <si>
    <t>Robotic surgery assistant deviated from planned trajectory, patient injury</t>
  </si>
  <si>
    <t>AI-0020</t>
  </si>
  <si>
    <t>AI code review tool approved security-vulnerable pull request</t>
  </si>
  <si>
    <t>28/04/2025</t>
  </si>
  <si>
    <t>AI-0021</t>
  </si>
  <si>
    <t>Deepfake voice attack targeted marketing/advertising company executive</t>
  </si>
  <si>
    <t>28/10/2024</t>
  </si>
  <si>
    <t>AI-0022</t>
  </si>
  <si>
    <t>Recommendation AI exposed purchase histories of 120 customers</t>
  </si>
  <si>
    <t>AI-0023</t>
  </si>
  <si>
    <t>Ad targeting AI exposed user behavioral data through model inversion attack</t>
  </si>
  <si>
    <t>21/04/2024</t>
  </si>
  <si>
    <t>AI-0024</t>
  </si>
  <si>
    <t>Content moderation AI disproportionately flagged minority-language posts</t>
  </si>
  <si>
    <t>AI-0025</t>
  </si>
  <si>
    <t>AI-generated job description listed nonexistent legal requirements</t>
  </si>
  <si>
    <t>AI-0026</t>
  </si>
  <si>
    <t>Trademark search AI invented prior art that did not exist</t>
  </si>
  <si>
    <t>28/07/2025</t>
  </si>
  <si>
    <t>AI-0027</t>
  </si>
  <si>
    <t>Voice-cloned celebrity ad ran without consent, lawsuit filed</t>
  </si>
  <si>
    <t>23/07/2023</t>
  </si>
  <si>
    <t>AI-0028</t>
  </si>
  <si>
    <t>AI-generated ad campaign used fabricated customer testimonials</t>
  </si>
  <si>
    <t>AI-0029</t>
  </si>
  <si>
    <t>Cloud-based AI legal tool exposed confidential M&amp;A documents</t>
  </si>
  <si>
    <t>AI-0030</t>
  </si>
  <si>
    <t>Immigration AI tool cited fake precedents in federal court filing</t>
  </si>
  <si>
    <t>22/09/2022</t>
  </si>
  <si>
    <t>AI-0031</t>
  </si>
  <si>
    <t>Robo-advisor AI logged client SIN numbers to third-party LLM provider</t>
  </si>
  <si>
    <t>13/06/2021</t>
  </si>
  <si>
    <t>AI-0032</t>
  </si>
  <si>
    <t>AI voice clone defeated bank's biometric authentication</t>
  </si>
  <si>
    <t>AI-0033</t>
  </si>
  <si>
    <t>AI image tool produced culturally insensitive holiday campaign imagery</t>
  </si>
  <si>
    <t>AI-0034</t>
  </si>
  <si>
    <t>Voice analysis AI in interviews discriminated against accented speakers</t>
  </si>
  <si>
    <t>16/12/2024</t>
  </si>
  <si>
    <t>AI-0035</t>
  </si>
  <si>
    <t>Autonomous deployment AI rolled out broken update to 2,400 production servers</t>
  </si>
  <si>
    <t>AI-0036</t>
  </si>
  <si>
    <t>ML pipeline misconfiguration exposed customer training data</t>
  </si>
  <si>
    <t>AI-0037</t>
  </si>
  <si>
    <t>Autonomous AI system executed unintended actions causing major incident</t>
  </si>
  <si>
    <t>AI-0038</t>
  </si>
  <si>
    <t>AI-driven account takeover bypassed retailer's fraud detection</t>
  </si>
  <si>
    <t>23/08/2024</t>
  </si>
  <si>
    <t>AI-0039</t>
  </si>
  <si>
    <t>Generative AI campaign fabricated award and certification claims</t>
  </si>
  <si>
    <t>AI-0040</t>
  </si>
  <si>
    <t>AI vendor breach leaked source code repositories of 2,400 enterprise clients</t>
  </si>
  <si>
    <t>20/01/2022</t>
  </si>
  <si>
    <t>AI-0041</t>
  </si>
  <si>
    <t>AI-generated fake reviews fueled fraud ring on marketplace platform</t>
  </si>
  <si>
    <t>26/05/2021</t>
  </si>
  <si>
    <t>AI-0042</t>
  </si>
  <si>
    <t>Talent-matching AI downranked applicants who disclosed medical leave history</t>
  </si>
  <si>
    <t>AI-0043</t>
  </si>
  <si>
    <t>Dynamic pricing AI charged higher prices to customers in low-income postal codes</t>
  </si>
  <si>
    <t>AI-0044</t>
  </si>
  <si>
    <t>AI legal research tool invented nonexistent statute in client memo</t>
  </si>
  <si>
    <t>15/02/2022</t>
  </si>
  <si>
    <t>AI-0045</t>
  </si>
  <si>
    <t>AI-crafted spear phishing breached law firm client trust account</t>
  </si>
  <si>
    <t>AI-0046</t>
  </si>
  <si>
    <t>Resume-screening AI filtered out candidates with non-English names</t>
  </si>
  <si>
    <t>18/09/2025</t>
  </si>
  <si>
    <t>AI-0047</t>
  </si>
  <si>
    <t>Deepfake political ad attributed false statements to public official</t>
  </si>
  <si>
    <t>28/05/2023</t>
  </si>
  <si>
    <t>AI-0048</t>
  </si>
  <si>
    <t>Autonomous content moderation AI banned 580 legitimate accounts in cascade</t>
  </si>
  <si>
    <t>AI-0049</t>
  </si>
  <si>
    <t>Clinical decision support AI fabricated drug interaction warning</t>
  </si>
  <si>
    <t>24/12/2023</t>
  </si>
  <si>
    <t>AI-0050</t>
  </si>
  <si>
    <t>Autonomous content moderation AI banned 340 legitimate accounts in cascade</t>
  </si>
  <si>
    <t>AI-0051</t>
  </si>
  <si>
    <t>Legal marketing AI published inaccurate compliance summary</t>
  </si>
  <si>
    <t>AI-0052</t>
  </si>
  <si>
    <t>Chatbot logged credit card numbers to vendor training dataset</t>
  </si>
  <si>
    <t>25/11/2025</t>
  </si>
  <si>
    <t>AI-0053</t>
  </si>
  <si>
    <t>Insurance pricing AI charged higher premiums to immigrant policyholders</t>
  </si>
  <si>
    <t>24/04/2025</t>
  </si>
  <si>
    <t>AI-0054</t>
  </si>
  <si>
    <t>Law firm filed brief citing 150,000 fictitious case citations from ChatGPT</t>
  </si>
  <si>
    <t>15/05/2024</t>
  </si>
  <si>
    <t>AI-0055</t>
  </si>
  <si>
    <t>Deepfake voice scam impersonated customer service to drain accounts</t>
  </si>
  <si>
    <t>19/08/2024</t>
  </si>
  <si>
    <t>AI-0056</t>
  </si>
  <si>
    <t>AI recruiting tool published job posting citing fabricated certification requirements</t>
  </si>
  <si>
    <t>14/06/2025</t>
  </si>
  <si>
    <t>AI-0057</t>
  </si>
  <si>
    <t>Marketing AI vendor leaked customer email lists in training data</t>
  </si>
  <si>
    <t>14/03/2023</t>
  </si>
  <si>
    <t>AI-0058</t>
  </si>
  <si>
    <t>Recruiting AI vendor breach exposed 28,000 applicant resumes</t>
  </si>
  <si>
    <t>AI-0059</t>
  </si>
  <si>
    <t>SaaS AI feature exposed 28,000 customer documents via shared model context</t>
  </si>
  <si>
    <t>AI-0060</t>
  </si>
  <si>
    <t>Autonomous deployment AI rolled out broken update to 340 production servers</t>
  </si>
  <si>
    <t>16/07/2023</t>
  </si>
  <si>
    <t>AI-0061</t>
  </si>
  <si>
    <t>Home-equity loan AI applied stricter terms in predominantly minority postal codes</t>
  </si>
  <si>
    <t>28/06/2021</t>
  </si>
  <si>
    <t>AI-0062</t>
  </si>
  <si>
    <t>AI bot network hijacked customer loyalty accounts at online marketplace</t>
  </si>
  <si>
    <t>AI-0063</t>
  </si>
  <si>
    <t>Customer service chatbot invented refund policy, retailer honored 580 claims</t>
  </si>
  <si>
    <t>27/02/2024</t>
  </si>
  <si>
    <t>AI-0064</t>
  </si>
  <si>
    <t>AI-driven ventilator weaning system caused respiratory distress event</t>
  </si>
  <si>
    <t>AI-0065</t>
  </si>
  <si>
    <t>AI meeting transcription leaked confidential strategy session</t>
  </si>
  <si>
    <t>13/09/2024</t>
  </si>
  <si>
    <t>AI-0066</t>
  </si>
  <si>
    <t>Adversarial AI evaded fraud-detection model at credit union</t>
  </si>
  <si>
    <t>AI-0067</t>
  </si>
  <si>
    <t>AI newsletter for law firm clients misstated new privacy regulation deadlines</t>
  </si>
  <si>
    <t>13/04/2023</t>
  </si>
  <si>
    <t>AI-0068</t>
  </si>
  <si>
    <t>Workforce planning AI recommended disproportionate layoffs of older staff</t>
  </si>
  <si>
    <t>26/03/2021</t>
  </si>
  <si>
    <t>AI-0069</t>
  </si>
  <si>
    <t>AI research assistant cited repealed legislation as current law in court filing</t>
  </si>
  <si>
    <t>AI-0070</t>
  </si>
  <si>
    <t>AI-personalized phishing emails compromised wealth-management client accounts</t>
  </si>
  <si>
    <t>AI-0071</t>
  </si>
  <si>
    <t>AI ad copy invented industry rankings for client product launch</t>
  </si>
  <si>
    <t>27/05/2025</t>
  </si>
  <si>
    <t>AI-0072</t>
  </si>
  <si>
    <t>Medication-review AI flagged fictitious contraindication, delaying patient treatment</t>
  </si>
  <si>
    <t>16/07/2022</t>
  </si>
  <si>
    <t>AI-0073</t>
  </si>
  <si>
    <t>Auto-loan scoring AI weighted neighborhood income as proxy for protected class</t>
  </si>
  <si>
    <t>20/11/2021</t>
  </si>
  <si>
    <t>AI-0074</t>
  </si>
  <si>
    <t>AI-generated voicemail scam diverted settlement funds from law firm escrow</t>
  </si>
  <si>
    <t>AI-0075</t>
  </si>
  <si>
    <t>Patient-portal AI chatbot revealed other patients' lab results in responses</t>
  </si>
  <si>
    <t>23/05/2024</t>
  </si>
  <si>
    <t>AI-0076</t>
  </si>
  <si>
    <t>Returns AI gave customers nonexistent discount codes</t>
  </si>
  <si>
    <t>AI-0077</t>
  </si>
  <si>
    <t>AI promotion-prediction tool disadvantaged Black employees</t>
  </si>
  <si>
    <t>AI-0078</t>
  </si>
  <si>
    <t>AI banking assistant quoted incorrect mortgage rates to 580 customers</t>
  </si>
  <si>
    <t>AI-0079</t>
  </si>
  <si>
    <t>Renters-insurance AI quoted higher rates to non-native English speakers</t>
  </si>
  <si>
    <t>18/09/2021</t>
  </si>
  <si>
    <t>AI-0080</t>
  </si>
  <si>
    <t>AI-drafted will referenced nonexistent provincial statute</t>
  </si>
  <si>
    <t>AI-0081</t>
  </si>
  <si>
    <t>AI background check tool leaked candidate medical disclosures</t>
  </si>
  <si>
    <t>22/11/2025</t>
  </si>
  <si>
    <t>AI-0082</t>
  </si>
  <si>
    <t>AI ad copy invented product features that did not exist</t>
  </si>
  <si>
    <t>AI-0083</t>
  </si>
  <si>
    <t>Estate-planning AI cited fictitious tax exemption in trust documents</t>
  </si>
  <si>
    <t>AI-0084</t>
  </si>
  <si>
    <t>Deepfake video ad depicted competitor CEO making false safety claims</t>
  </si>
  <si>
    <t>24/09/2021</t>
  </si>
  <si>
    <t>AI-0085</t>
  </si>
  <si>
    <t>AI underwriting tool penalized self-employed applicants disproportionately</t>
  </si>
  <si>
    <t>AI-0086</t>
  </si>
  <si>
    <t>Interview-screening AI scored candidates lower for speech patterns linked to disability</t>
  </si>
  <si>
    <t>18/07/2023</t>
  </si>
  <si>
    <t>AI-0087</t>
  </si>
  <si>
    <t>AI voice clone of local news anchor used in unauthorized radio spots</t>
  </si>
  <si>
    <t>AI-0088</t>
  </si>
  <si>
    <t>Insurance claims AI denied disproportionate share of Indigenous patient claims</t>
  </si>
  <si>
    <t>AI-0089</t>
  </si>
  <si>
    <t>AI vendor breach leaked source code repositories of 4,800 enterprise clients</t>
  </si>
  <si>
    <t>AI-0090</t>
  </si>
  <si>
    <t>AI-generated market commentary on bank website misstated economic indicators</t>
  </si>
  <si>
    <t>AI-0091</t>
  </si>
  <si>
    <t>AI campaign generator overstated product efficacy against competitor claims</t>
  </si>
  <si>
    <t>18/12/2024</t>
  </si>
  <si>
    <t>AI-0092</t>
  </si>
  <si>
    <t>AI coding assistant introduced deprecated encryption library into production build</t>
  </si>
  <si>
    <t>28/04/2023</t>
  </si>
  <si>
    <t>AI-0093</t>
  </si>
  <si>
    <t>Synthetic identity built with AI passed bank's automated onboarding checks</t>
  </si>
  <si>
    <t>21/10/2025</t>
  </si>
  <si>
    <t>AI-0094</t>
  </si>
  <si>
    <t>Prompt injection attack on customer-facing AI exposed enterprise credentials</t>
  </si>
  <si>
    <t>16/12/2025</t>
  </si>
  <si>
    <t>AI-0095</t>
  </si>
  <si>
    <t>Performance-ranking AI systematically underrated employees over 55</t>
  </si>
  <si>
    <t>AI-0096</t>
  </si>
  <si>
    <t>Checkout assistant AI stored payment details in unsecured analytics logs</t>
  </si>
  <si>
    <t>25/02/2025</t>
  </si>
  <si>
    <t>AI-0097</t>
  </si>
  <si>
    <t>Patent-search AI reported fictitious filings, derailing client application</t>
  </si>
  <si>
    <t>AI-0098</t>
  </si>
  <si>
    <t>AI tax-prep tool invented eligible deductions, CRA reassessment followed</t>
  </si>
  <si>
    <t>21/08/2023</t>
  </si>
  <si>
    <t>AI-0099</t>
  </si>
  <si>
    <t>AI fraud-detection vendor breach leaked transaction data of 150,000 customers</t>
  </si>
  <si>
    <t>AI-0100</t>
  </si>
  <si>
    <t>SaaS AI feature exposed 4,800 customer documents via shared model context</t>
  </si>
  <si>
    <t>AI-0101</t>
  </si>
  <si>
    <t>Product description AI generated false ingredient list for cosmetics</t>
  </si>
  <si>
    <t>21/02/2025</t>
  </si>
  <si>
    <t>AI-0102</t>
  </si>
  <si>
    <t>AI careers-page generator claimed nonexistent visa sponsorship program</t>
  </si>
  <si>
    <t>28/02/2024</t>
  </si>
  <si>
    <t>AI-0103</t>
  </si>
  <si>
    <t>IP-clearance AI fabricated registration records in trademark opinion</t>
  </si>
  <si>
    <t>AI-0104</t>
  </si>
  <si>
    <t>Discovery AI summarized documents with fabricated content</t>
  </si>
  <si>
    <t>AI-0105</t>
  </si>
  <si>
    <t>Law-firm blog AI misreported scope of new employment legislation</t>
  </si>
  <si>
    <t>AI-0106</t>
  </si>
  <si>
    <t>Telehealth triage AI transmitted session transcripts to third-party vendor</t>
  </si>
  <si>
    <t>21/11/2025</t>
  </si>
  <si>
    <t>AI-0107</t>
  </si>
  <si>
    <t>AI-generated news-style ad spread false product recall story</t>
  </si>
  <si>
    <t>25/09/2022</t>
  </si>
  <si>
    <t>AI-0108</t>
  </si>
  <si>
    <t>Autonomous infusion pump miscalculated dosage during AI override</t>
  </si>
  <si>
    <t>AI-0109</t>
  </si>
  <si>
    <t>Robo-advisor newsletter AI misquoted central bank rate guidance</t>
  </si>
  <si>
    <t>14/11/2023</t>
  </si>
  <si>
    <t>AI-0110</t>
  </si>
  <si>
    <t>CV-parsing AI rejected applicants with foreign university credentials</t>
  </si>
  <si>
    <t>22/04/2024</t>
  </si>
  <si>
    <t>AI-0111</t>
  </si>
  <si>
    <t>AI support chatbot invented nonexistent product feature, customer churn followed</t>
  </si>
  <si>
    <t>28/03/2025</t>
  </si>
  <si>
    <t>AI-0112</t>
  </si>
  <si>
    <t>Brand-clearance AI invented conflicting marks in availability search</t>
  </si>
  <si>
    <t>AI-0113</t>
  </si>
  <si>
    <t>Litigation-summary AI attributed fabricated statements to deposition witness</t>
  </si>
  <si>
    <t>AI-0114</t>
  </si>
  <si>
    <t>AI-driven feature gating excluded users in specific regions without notice</t>
  </si>
  <si>
    <t>AI-0115</t>
  </si>
  <si>
    <t>Trademark-watch AI generated false infringement alerts, client filed needless opposition</t>
  </si>
  <si>
    <t>AI-0116</t>
  </si>
  <si>
    <t>Prior-authorization AI denied rural Indigenous patients at elevated rates</t>
  </si>
  <si>
    <t>AI-0117</t>
  </si>
  <si>
    <t>Succession-planning AI excluded older employees from advancement pools</t>
  </si>
  <si>
    <t>AI-0118</t>
  </si>
  <si>
    <t>Dermatology AI showed lower accuracy on darker skin tones in clinical pilot</t>
  </si>
  <si>
    <t>24/10/2023</t>
  </si>
  <si>
    <t>AI-0119</t>
  </si>
  <si>
    <t>Employee-wellness AI shared health survey responses with hiring managers</t>
  </si>
  <si>
    <t>AI-0120</t>
  </si>
  <si>
    <t>Commercial-policy pricing AI loaded premiums by owner surname origin</t>
  </si>
  <si>
    <t>18/08/2024</t>
  </si>
  <si>
    <t>AI-0121</t>
  </si>
  <si>
    <t>Audience-segmentation AI leaked identifiable browsing profiles to ad partners</t>
  </si>
  <si>
    <t>AI-0122</t>
  </si>
  <si>
    <t>Symptom-checker AI invented drug recall, patients stopped medication</t>
  </si>
  <si>
    <t>AI-0123</t>
  </si>
  <si>
    <t>Contract-drafting AI inserted clause citing nonexistent consumer protection act</t>
  </si>
  <si>
    <t>16/11/2025</t>
  </si>
  <si>
    <t>AI-0124</t>
  </si>
  <si>
    <t>AI credential-stuffing campaign drained stored-value gift card balances</t>
  </si>
  <si>
    <t>AI-0125</t>
  </si>
  <si>
    <t>Personality assessment AI scored neurodivergent candidates poorly</t>
  </si>
  <si>
    <t>24/01/2023</t>
  </si>
  <si>
    <t>AI-0126</t>
  </si>
  <si>
    <t>Synthetic ID fraud ring used GenAI to open 340 accounts</t>
  </si>
  <si>
    <t>AI-0127</t>
  </si>
  <si>
    <t>AI test-generation tool masked failing security checks with fabricated passing results</t>
  </si>
  <si>
    <t>19/10/2022</t>
  </si>
  <si>
    <t>AI-0128</t>
  </si>
  <si>
    <t>Risk-scoring AI underestimated cardiac risk for female patients</t>
  </si>
  <si>
    <t>22/01/2024</t>
  </si>
  <si>
    <t>AI-0129</t>
  </si>
  <si>
    <t>Generative AI chat scam impersonated support agents, harvesting customer logins</t>
  </si>
  <si>
    <t>AI-0130</t>
  </si>
  <si>
    <t>Family law AI memo cited overturned cases as binding precedent</t>
  </si>
  <si>
    <t>AI-0131</t>
  </si>
  <si>
    <t>Product-page AI listed fictitious clinical study supporting skincare claims</t>
  </si>
  <si>
    <t>21/07/2025</t>
  </si>
  <si>
    <t>AI-0132</t>
  </si>
  <si>
    <t>Returns-processing AI emailed order histories to wrong customers in bulk</t>
  </si>
  <si>
    <t>AI-0133</t>
  </si>
  <si>
    <t>Document-automation AI exposed privileged client files via shared template cache</t>
  </si>
  <si>
    <t>20/01/2023</t>
  </si>
  <si>
    <t>AI-0134</t>
  </si>
  <si>
    <t>Employee monitoring AI transmitted webcam data to overseas server</t>
  </si>
  <si>
    <t>22/02/2021</t>
  </si>
  <si>
    <t>AI-0135</t>
  </si>
  <si>
    <t>Discharge-planning AI fabricated follow-up appointment instructions, patient harm</t>
  </si>
  <si>
    <t>Market Landscape</t>
  </si>
  <si>
    <t>Competitor positioning, Canadian market data, and policy-limit benchmark for AI liability insurance.</t>
  </si>
  <si>
    <t>A. Competitor Positioning</t>
  </si>
  <si>
    <t>Competitor</t>
  </si>
  <si>
    <t>Approach / Structure</t>
  </si>
  <si>
    <t>Target Segment</t>
  </si>
  <si>
    <t>Coverage Scope</t>
  </si>
  <si>
    <t>Market Role / Stance</t>
  </si>
  <si>
    <t>Source</t>
  </si>
  <si>
    <t>Munich Re / HSB</t>
  </si>
  <si>
    <t>Embedded AI Liability endorsement added to partner carriers’ existing business policies; not sold directly.</t>
  </si>
  <si>
    <t>Main Street SMEs (micro, small, medium).</t>
  </si>
  <si>
    <t>Bodily injury, property damage, and advertising injury from AI-generated content or automated systems.</t>
  </si>
  <si>
    <t>Building pricing, underwriting, and accumulation controls; anticipates repurchase demand as ISO exclusions take hold.</t>
  </si>
  <si>
    <t>Testudo</t>
  </si>
  <si>
    <t>Standalone Generative AI Liability product, backed by Lloyd’s syndicates; written as its own coverage.</t>
  </si>
  <si>
    <t>Enterprises deploying generative AI.</t>
  </si>
  <si>
    <t>Third-party claims from generative AI outputs, where standard CGL may not respond.</t>
  </si>
  <si>
    <t>Built around the carve-out of AI risk from traditional CGL.</t>
  </si>
  <si>
    <t>testudo.co</t>
  </si>
  <si>
    <t>Coalition</t>
  </si>
  <si>
    <t>Affirmative AI Endorsement added to existing cyber policies (US surplus and Canada); not standalone.</t>
  </si>
  <si>
    <t>Rooted in SMEs; capacity extended to mid-market and enterprise.</t>
  </si>
  <si>
    <t>AI security events and deepfake / AI funds-transfer fraud, within cyber coverage.</t>
  </si>
  <si>
    <t>Reduces “silent AI” ambiguity by affirmatively defining when AI incidents are covered.</t>
  </si>
  <si>
    <t>Traditional Carriers</t>
  </si>
  <si>
    <t>Standard CGL / E&amp;O / D&amp;O wording with no AI-specific language.</t>
  </si>
  <si>
    <t>All commercial segments.</t>
  </si>
  <si>
    <t>May or may not respond to AI claims; coverage is ambiguous (“silent AI”).</t>
  </si>
  <si>
    <t>Largely wait-and-see; some beginning to attach ISO exclusions.</t>
  </si>
  <si>
    <t>Business Insurance (Apr 2026)</t>
  </si>
  <si>
    <t>Note: Coalition’s AI endorsement sits within cyber coverage, narrower than the general AI-liability framing of the strategic options; included as a third endorsement-model precedent, not a like-for-like comparison.</t>
  </si>
  <si>
    <t>B. Canadian Market — Key Data</t>
  </si>
  <si>
    <t>The AI market is estimated to have a current total valuation of roughly $600 billion in 2026. AI adoption in Canada is rising quickly but off a low base. Statistics Canada reports that 12.2% of Canadian firms used AI to produce goods or deliver services in 2025, double the 6.1% recorded in 2024, with a further 14.5% planning to adopt within twelve months, meaning the addressable risk pool is expanding rapidly rather than already mature. Finance and insurance is among the highest-adopting sectors at 30.6%. Enterprise adoption outpaces the small-business segment: roughly 37% of IT professionals in large Canadian enterprises report actively deploying AI, which reinforces the segment tension in the standalone-product option. On the supply side, the Canadian market is moving through endorsements rather than standalone products: Coalition’s affirmative AI endorsement on its Canada cyber policies is the visible local precedent, mirroring the HSB embedded-coverage model and contrasting with Testudo’s enterprise-focused standalone product, which is not shown to be available in Canada.</t>
  </si>
  <si>
    <t>https://www.coalitioninc.com/</t>
  </si>
  <si>
    <t>https://www.munichre.com/en.html/hsb (Mar 2026)</t>
  </si>
  <si>
    <t>Average</t>
  </si>
  <si>
    <t>Total Earned Premium</t>
  </si>
  <si>
    <t>Claim Frequency Average</t>
  </si>
  <si>
    <t>Underwriting Profit</t>
  </si>
  <si>
    <t>Underwriting Profit Ratio</t>
  </si>
  <si>
    <t>Total Underwriting Profit</t>
  </si>
  <si>
    <t>Total expenses</t>
  </si>
  <si>
    <t>E&amp;O</t>
  </si>
  <si>
    <t>Cyber</t>
  </si>
  <si>
    <t>Tech Products</t>
  </si>
  <si>
    <t>CGL</t>
  </si>
  <si>
    <t>CAL</t>
  </si>
  <si>
    <t>Undewriting Profit Ratio</t>
  </si>
  <si>
    <t>Claim Freq</t>
  </si>
  <si>
    <t>Earned Premium Growth</t>
  </si>
  <si>
    <t>Average Severity change</t>
  </si>
  <si>
    <t>Row Labels</t>
  </si>
  <si>
    <t>Grand Total</t>
  </si>
  <si>
    <t>Sum of Estimated Insured Loss (CAD)</t>
  </si>
  <si>
    <t>Weighted Loss Ratio</t>
  </si>
  <si>
    <t>Weighted Combined Ratio</t>
  </si>
  <si>
    <t>Weighted Expense Ratio</t>
  </si>
  <si>
    <t>EO</t>
  </si>
  <si>
    <t>Tech Prod</t>
  </si>
  <si>
    <t>Total Loss</t>
  </si>
  <si>
    <t>Total Op Ex</t>
  </si>
  <si>
    <t>Total</t>
  </si>
  <si>
    <t>All</t>
  </si>
  <si>
    <t>EP Total</t>
  </si>
  <si>
    <t>STDEV CR</t>
  </si>
  <si>
    <t>STDEV SEV</t>
  </si>
  <si>
    <t>STDEV FREQ</t>
  </si>
  <si>
    <t>Algorithim Bias</t>
  </si>
  <si>
    <t>Autonomous Systems</t>
  </si>
  <si>
    <t>Cyber exploitation</t>
  </si>
  <si>
    <t>Hallucination</t>
  </si>
  <si>
    <t>Privacy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</si>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</sst>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000"/>
    <numFmt numFmtId="165" formatCode="\$#,##0"/>
    <numFmt numFmtId="171" formatCode="0.0000000%"/>
    <numFmt numFmtId="172" formatCode="_(&quot;$&quot;* #,##0.000_);_(&quot;$&quot;* \(#,##0.000\);_(&quot;$&quot;* &quot;-&quot;??_);_(@_)"/>
  </numFmts>
  <fonts count="23">
    <font>
      <sz val="10"/>
      <color rgb="FF000000"/>
      <name val="Arial"/>
      <charset val="1"/>
    </font>
    <font>
      <b/>
      <sz val="15"/>
      <color rgb="FF1155CC"/>
      <name val="Arial"/>
      <charset val="1"/>
    </font>
    <font>
      <i/>
      <sz val="10"/>
      <color rgb="FF555555"/>
      <name val="Arial"/>
      <charset val="1"/>
    </font>
    <font>
      <b/>
      <sz val="12"/>
      <color rgb="FF1155CC"/>
      <name val="Arial"/>
      <charset val="1"/>
    </font>
    <font>
      <b/>
      <sz val="10"/>
      <color rgb="FF000000"/>
      <name val="Arial"/>
      <charset val="1"/>
    </font>
    <font>
      <b/>
      <sz val="10"/>
      <color rgb="FFFFFFFF"/>
      <name val="Arial"/>
      <charset val="1"/>
    </font>
    <font>
      <b/>
      <sz val="11"/>
      <color rgb="FFFFFFFF"/>
      <name val="Arial"/>
      <charset val="1"/>
    </font>
    <font>
      <b/>
      <sz val="11"/>
      <color theme="1"/>
      <name val="Arial"/>
      <charset val="1"/>
    </font>
    <font>
      <sz val="11"/>
      <color theme="1"/>
      <name val="Arial"/>
      <charset val="1"/>
    </font>
    <font>
      <b/>
      <sz val="13"/>
      <color rgb="FF1155CC"/>
      <name val="Arial"/>
      <charset val="1"/>
    </font>
    <font>
      <sz val="11"/>
      <color rgb="FF000000"/>
      <name val="Helvetica Neue"/>
      <charset val="1"/>
    </font>
    <font>
      <b/>
      <sz val="14"/>
      <color rgb="FF000000"/>
      <name val="Helvetica Neue"/>
      <charset val="1"/>
    </font>
    <font>
      <b/>
      <sz val="11"/>
      <color rgb="FF000000"/>
      <name val="Helvetica Neue"/>
      <charset val="1"/>
    </font>
    <font>
      <b/>
      <sz val="14"/>
      <color theme="1"/>
      <name val="Arial"/>
      <charset val="1"/>
    </font>
    <font>
      <sz val="12"/>
      <color theme="1"/>
      <name val="Arial"/>
      <charset val="1"/>
    </font>
    <font>
      <i/>
      <sz val="11"/>
      <color rgb="FF595959"/>
      <name val="Arial"/>
      <charset val="1"/>
    </font>
    <font>
      <b/>
      <sz val="12"/>
      <color rgb="FFFFFFFF"/>
      <name val="Arial"/>
      <charset val="1"/>
    </font>
    <font>
      <b/>
      <sz val="12"/>
      <color theme="1"/>
      <name val="Arial"/>
      <charset val="1"/>
    </font>
    <font>
      <u/>
      <sz val="12"/>
      <color rgb="FF1155CC"/>
      <name val="Arial"/>
      <charset val="1"/>
    </font>
    <font>
      <u/>
      <sz val="10"/>
      <color theme="10"/>
      <name val="Arial"/>
      <charset val="1"/>
    </font>
    <font>
      <sz val="12"/>
      <color theme="1"/>
      <name val="Arial"/>
      <family val="2"/>
    </font>
    <font>
      <sz val="10"/>
      <color rgb="FF000000"/>
      <name val="Arial"/>
      <charset val="1"/>
    </font>
    <font>
      <b/>
      <sz val="10"/>
      <color theme="1"/>
      <name val="Arial"/>
      <charset val="1"/>
    </font>
  </fonts>
  <fills count="5">
    <fill>
      <patternFill patternType="none"/>
    </fill>
    <fill>
      <patternFill patternType="gray125"/>
    </fill>
    <fill>
      <patternFill patternType="solid">
        <fgColor rgb="FF2E75B6"/>
        <bgColor rgb="FF1155CC"/>
      </patternFill>
    </fill>
    <fill>
      <patternFill patternType="solid">
        <fgColor rgb="FFEDF3FA"/>
        <bgColor rgb="FFFFFFFF"/>
      </patternFill>
    </fill>
    <fill>
      <patternFill patternType="solid">
        <fgColor rgb="FFD9E6F2"/>
        <bgColor rgb="FFEDF3FA"/>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FBFBF"/>
      </left>
      <right style="thin">
        <color rgb="FFBFBFBF"/>
      </right>
      <top style="thin">
        <color rgb="FFBFBFBF"/>
      </top>
      <bottom style="thin">
        <color rgb="FFBFBFBF"/>
      </bottom>
      <diagonal/>
    </border>
    <border>
      <left/>
      <right/>
      <top/>
      <bottom style="thin">
        <color theme="4" tint="0.39997558519241921"/>
      </bottom>
      <diagonal/>
    </border>
  </borders>
  <cellStyleXfs count="4">
    <xf numFmtId="0" fontId="0" fillId="0" borderId="0"/>
    <xf numFmtId="0" fontId="19" fillId="0" borderId="0" applyNumberFormat="0" applyFill="0" applyBorder="0" applyAlignment="0" applyProtection="0"/>
    <xf numFmtId="44" fontId="21" fillId="0" borderId="0" applyFont="0" applyFill="0" applyBorder="0" applyAlignment="0" applyProtection="0"/>
    <xf numFmtId="9" fontId="21" fillId="0" borderId="0" applyFont="0" applyFill="0" applyBorder="0" applyAlignment="0" applyProtection="0"/>
  </cellStyleXfs>
  <cellXfs count="58">
    <xf numFmtId="0" fontId="0" fillId="0" borderId="0" xfId="0"/>
    <xf numFmtId="0" fontId="11" fillId="0" borderId="0" xfId="0" applyFont="1" applyAlignment="1">
      <alignment vertical="top"/>
    </xf>
    <xf numFmtId="0" fontId="5" fillId="2" borderId="1" xfId="0" applyFont="1" applyFill="1" applyBorder="1" applyAlignment="1">
      <alignment horizontal="left" vertical="top" wrapText="1"/>
    </xf>
    <xf numFmtId="0" fontId="4" fillId="0" borderId="0" xfId="0" applyFont="1" applyAlignment="1">
      <alignment horizontal="left" vertical="top" wrapText="1"/>
    </xf>
    <xf numFmtId="0" fontId="4" fillId="3" borderId="1" xfId="0" applyFont="1" applyFill="1" applyBorder="1" applyAlignment="1">
      <alignment horizontal="left" vertical="top" wrapText="1"/>
    </xf>
    <xf numFmtId="0" fontId="6" fillId="2" borderId="1" xfId="0" applyFont="1" applyFill="1" applyBorder="1" applyAlignment="1">
      <alignment vertical="top" wrapText="1"/>
    </xf>
    <xf numFmtId="0" fontId="7" fillId="4" borderId="1" xfId="0" applyFont="1" applyFill="1" applyBorder="1" applyAlignment="1">
      <alignment vertical="top" wrapText="1"/>
    </xf>
    <xf numFmtId="0" fontId="8" fillId="0" borderId="1" xfId="0" applyFont="1" applyBorder="1" applyAlignment="1">
      <alignment vertical="top" wrapText="1"/>
    </xf>
    <xf numFmtId="0" fontId="9" fillId="0" borderId="0" xfId="0" applyFont="1"/>
    <xf numFmtId="0" fontId="10" fillId="0" borderId="0" xfId="0" applyFont="1" applyAlignment="1">
      <alignment vertical="top"/>
    </xf>
    <xf numFmtId="0" fontId="10" fillId="0" borderId="0" xfId="0" applyFont="1" applyAlignment="1">
      <alignment horizontal="center" vertical="top"/>
    </xf>
    <xf numFmtId="0" fontId="12" fillId="0" borderId="0" xfId="0" applyFont="1" applyAlignment="1">
      <alignment vertical="top"/>
    </xf>
    <xf numFmtId="0" fontId="12" fillId="0" borderId="0" xfId="0" applyFont="1" applyAlignment="1">
      <alignment horizontal="center" vertical="top"/>
    </xf>
    <xf numFmtId="4" fontId="10" fillId="0" borderId="0" xfId="0" applyNumberFormat="1" applyFont="1" applyAlignment="1">
      <alignment horizontal="center" vertical="top"/>
    </xf>
    <xf numFmtId="164" fontId="10" fillId="0" borderId="0" xfId="0" applyNumberFormat="1" applyFont="1" applyAlignment="1">
      <alignment horizontal="center" vertical="top"/>
    </xf>
    <xf numFmtId="2" fontId="10" fillId="0" borderId="0" xfId="0" applyNumberFormat="1" applyFont="1" applyAlignment="1">
      <alignment horizontal="center" vertical="top"/>
    </xf>
    <xf numFmtId="0" fontId="13" fillId="0" borderId="0" xfId="0" applyFont="1" applyAlignment="1">
      <alignment horizontal="center"/>
    </xf>
    <xf numFmtId="0" fontId="14" fillId="0" borderId="0" xfId="0" applyFont="1"/>
    <xf numFmtId="165" fontId="14" fillId="0" borderId="2" xfId="0" applyNumberFormat="1" applyFont="1" applyBorder="1" applyAlignment="1">
      <alignment horizontal="right"/>
    </xf>
    <xf numFmtId="0" fontId="8" fillId="0" borderId="0" xfId="0" applyFont="1"/>
    <xf numFmtId="0" fontId="3" fillId="0" borderId="0" xfId="0" applyFont="1"/>
    <xf numFmtId="0" fontId="16" fillId="2" borderId="2" xfId="0" applyFont="1" applyFill="1" applyBorder="1"/>
    <xf numFmtId="0" fontId="17" fillId="3" borderId="2" xfId="0" applyFont="1" applyFill="1" applyBorder="1" applyAlignment="1">
      <alignment vertical="top"/>
    </xf>
    <xf numFmtId="0" fontId="14" fillId="0" borderId="2" xfId="0" applyFont="1" applyBorder="1" applyAlignment="1">
      <alignment vertical="top" wrapText="1"/>
    </xf>
    <xf numFmtId="0" fontId="18" fillId="0" borderId="2" xfId="0" applyFont="1" applyBorder="1" applyAlignment="1">
      <alignment vertical="top" wrapText="1"/>
    </xf>
    <xf numFmtId="14" fontId="14" fillId="0" borderId="0" xfId="0" applyNumberFormat="1" applyFont="1" applyAlignment="1">
      <alignment horizontal="left"/>
    </xf>
    <xf numFmtId="0" fontId="20" fillId="0" borderId="2" xfId="0" applyFont="1" applyBorder="1" applyAlignment="1">
      <alignment vertical="top" wrapText="1"/>
    </xf>
    <xf numFmtId="0" fontId="19" fillId="0" borderId="2" xfId="1" applyBorder="1" applyAlignment="1">
      <alignmen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5"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0" xfId="0"/>
    <xf numFmtId="0" fontId="11" fillId="0" borderId="0" xfId="0" applyFont="1" applyAlignment="1">
      <alignment vertical="top"/>
    </xf>
    <xf numFmtId="0" fontId="15" fillId="0" borderId="0" xfId="0" applyFont="1"/>
    <xf numFmtId="0" fontId="14" fillId="0" borderId="0" xfId="0" applyFont="1" applyAlignment="1">
      <alignment horizontal="center" vertical="center" wrapText="1"/>
    </xf>
    <xf numFmtId="10" fontId="0" fillId="0" borderId="0" xfId="3" applyNumberFormat="1" applyFont="1"/>
    <xf numFmtId="0" fontId="0" fillId="0" borderId="0" xfId="0" applyAlignment="1">
      <alignment horizontal="center" vertical="center"/>
    </xf>
    <xf numFmtId="0" fontId="12" fillId="0" borderId="0" xfId="0" applyFont="1" applyAlignment="1">
      <alignment horizontal="center" vertical="center"/>
    </xf>
    <xf numFmtId="171" fontId="0" fillId="0" borderId="0" xfId="3" applyNumberFormat="1" applyFont="1" applyAlignment="1">
      <alignment horizontal="center" vertical="center"/>
    </xf>
    <xf numFmtId="44" fontId="0" fillId="0" borderId="0" xfId="2" applyFont="1" applyAlignment="1">
      <alignment horizontal="center" vertical="center"/>
    </xf>
    <xf numFmtId="44" fontId="0" fillId="0" borderId="0" xfId="0" applyNumberFormat="1"/>
    <xf numFmtId="10" fontId="0" fillId="0" borderId="0" xfId="3" applyNumberFormat="1" applyFont="1" applyAlignment="1">
      <alignment horizontal="center" vertical="center"/>
    </xf>
    <xf numFmtId="171" fontId="0" fillId="0" borderId="0" xfId="0" applyNumberFormat="1" applyAlignment="1">
      <alignment horizontal="center" vertical="center"/>
    </xf>
    <xf numFmtId="10" fontId="10" fillId="0" borderId="0" xfId="3" applyNumberFormat="1" applyFont="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0" fontId="0" fillId="0" borderId="0" xfId="0" applyAlignment="1">
      <alignment horizontal="left" indent="2"/>
    </xf>
    <xf numFmtId="165" fontId="22" fillId="0" borderId="3" xfId="0" applyNumberFormat="1" applyFont="1" applyBorder="1"/>
    <xf numFmtId="10" fontId="0" fillId="0" borderId="0" xfId="0" applyNumberFormat="1"/>
    <xf numFmtId="44" fontId="0" fillId="0" borderId="0" xfId="2" applyFont="1"/>
    <xf numFmtId="172" fontId="0" fillId="0" borderId="0" xfId="2" applyNumberFormat="1" applyFont="1" applyAlignment="1">
      <alignment horizontal="center" vertical="center"/>
    </xf>
    <xf numFmtId="0" fontId="0" fillId="0" borderId="0" xfId="0" applyBorder="1"/>
    <xf numFmtId="165" fontId="0" fillId="0" borderId="0" xfId="0" applyNumberFormat="1" applyBorder="1"/>
  </cellXfs>
  <cellStyles count="4">
    <cellStyle name="Currency" xfId="2" builtinId="4"/>
    <cellStyle name="Hyperlink" xfId="1" builtinId="8"/>
    <cellStyle name="Normal" xfId="0" builtinId="0"/>
    <cellStyle name="Percent" xfId="3"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F3FA"/>
      <rgbColor rgb="FFD9E6F2"/>
      <rgbColor rgb="FF660066"/>
      <rgbColor rgb="FFFF8080"/>
      <rgbColor rgb="FF1155CC"/>
      <rgbColor rgb="FFBBBBB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E&amp;O</a:t>
            </a:r>
            <a:r>
              <a:rPr lang="en-US" baseline="0"/>
              <a:t> Loss Ratio 2021-2025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A'!$H$4:$L$4</c:f>
              <c:numCache>
                <c:formatCode>General</c:formatCode>
                <c:ptCount val="5"/>
                <c:pt idx="0">
                  <c:v>2021</c:v>
                </c:pt>
                <c:pt idx="1">
                  <c:v>2022</c:v>
                </c:pt>
                <c:pt idx="2">
                  <c:v>2023</c:v>
                </c:pt>
                <c:pt idx="3">
                  <c:v>2024</c:v>
                </c:pt>
                <c:pt idx="4">
                  <c:v>2025</c:v>
                </c:pt>
              </c:numCache>
            </c:numRef>
          </c:cat>
          <c:val>
            <c:numRef>
              <c:f>'Exhibit A'!$H$5:$L$5</c:f>
              <c:numCache>
                <c:formatCode>0.0000000%</c:formatCode>
                <c:ptCount val="5"/>
                <c:pt idx="0">
                  <c:v>0.58486898788708119</c:v>
                </c:pt>
                <c:pt idx="1">
                  <c:v>0.64541517465899845</c:v>
                </c:pt>
                <c:pt idx="2">
                  <c:v>0.61952657803768796</c:v>
                </c:pt>
                <c:pt idx="3">
                  <c:v>0.6389458288800135</c:v>
                </c:pt>
                <c:pt idx="4">
                  <c:v>0.56804105065900545</c:v>
                </c:pt>
              </c:numCache>
            </c:numRef>
          </c:val>
          <c:extLst>
            <c:ext xmlns:c16="http://schemas.microsoft.com/office/drawing/2014/chart" uri="{C3380CC4-5D6E-409C-BE32-E72D297353CC}">
              <c16:uniqueId val="{00000000-ADAB-4641-93C1-89885A495D28}"/>
            </c:ext>
          </c:extLst>
        </c:ser>
        <c:dLbls>
          <c:showLegendKey val="0"/>
          <c:showVal val="0"/>
          <c:showCatName val="0"/>
          <c:showSerName val="0"/>
          <c:showPercent val="0"/>
          <c:showBubbleSize val="0"/>
        </c:dLbls>
        <c:gapWidth val="219"/>
        <c:overlap val="-27"/>
        <c:axId val="1238322688"/>
        <c:axId val="1233299504"/>
      </c:barChart>
      <c:catAx>
        <c:axId val="123832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99504"/>
        <c:crosses val="autoZero"/>
        <c:auto val="1"/>
        <c:lblAlgn val="ctr"/>
        <c:lblOffset val="100"/>
        <c:noMultiLvlLbl val="0"/>
      </c:catAx>
      <c:valAx>
        <c:axId val="123329950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322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E&amp;O Expense Ratio 2021-2025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A'!$H$4:$L$4</c:f>
              <c:numCache>
                <c:formatCode>General</c:formatCode>
                <c:ptCount val="5"/>
                <c:pt idx="0">
                  <c:v>2021</c:v>
                </c:pt>
                <c:pt idx="1">
                  <c:v>2022</c:v>
                </c:pt>
                <c:pt idx="2">
                  <c:v>2023</c:v>
                </c:pt>
                <c:pt idx="3">
                  <c:v>2024</c:v>
                </c:pt>
                <c:pt idx="4">
                  <c:v>2025</c:v>
                </c:pt>
              </c:numCache>
            </c:numRef>
          </c:cat>
          <c:val>
            <c:numRef>
              <c:f>'Exhibit A'!$H$6:$L$6</c:f>
              <c:numCache>
                <c:formatCode>0.0000000%</c:formatCode>
                <c:ptCount val="5"/>
                <c:pt idx="0">
                  <c:v>0.25</c:v>
                </c:pt>
                <c:pt idx="1">
                  <c:v>0.24999964490099133</c:v>
                </c:pt>
                <c:pt idx="2">
                  <c:v>0.25</c:v>
                </c:pt>
                <c:pt idx="3">
                  <c:v>0.24999943747538955</c:v>
                </c:pt>
                <c:pt idx="4">
                  <c:v>0.24999976327125042</c:v>
                </c:pt>
              </c:numCache>
            </c:numRef>
          </c:val>
          <c:extLst>
            <c:ext xmlns:c16="http://schemas.microsoft.com/office/drawing/2014/chart" uri="{C3380CC4-5D6E-409C-BE32-E72D297353CC}">
              <c16:uniqueId val="{00000000-4E07-4862-8EE1-1B708DEBA80B}"/>
            </c:ext>
          </c:extLst>
        </c:ser>
        <c:dLbls>
          <c:showLegendKey val="0"/>
          <c:showVal val="0"/>
          <c:showCatName val="0"/>
          <c:showSerName val="0"/>
          <c:showPercent val="0"/>
          <c:showBubbleSize val="0"/>
        </c:dLbls>
        <c:gapWidth val="219"/>
        <c:overlap val="-27"/>
        <c:axId val="1351519488"/>
        <c:axId val="1233295664"/>
      </c:barChart>
      <c:catAx>
        <c:axId val="135151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95664"/>
        <c:crosses val="autoZero"/>
        <c:auto val="1"/>
        <c:lblAlgn val="ctr"/>
        <c:lblOffset val="100"/>
        <c:noMultiLvlLbl val="0"/>
      </c:catAx>
      <c:valAx>
        <c:axId val="123329566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19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E&amp;O Combined Ratio 2021-2025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A'!$H$4:$L$4</c:f>
              <c:numCache>
                <c:formatCode>General</c:formatCode>
                <c:ptCount val="5"/>
                <c:pt idx="0">
                  <c:v>2021</c:v>
                </c:pt>
                <c:pt idx="1">
                  <c:v>2022</c:v>
                </c:pt>
                <c:pt idx="2">
                  <c:v>2023</c:v>
                </c:pt>
                <c:pt idx="3">
                  <c:v>2024</c:v>
                </c:pt>
                <c:pt idx="4">
                  <c:v>2025</c:v>
                </c:pt>
              </c:numCache>
            </c:numRef>
          </c:cat>
          <c:val>
            <c:numRef>
              <c:f>'Exhibit A'!$H$7:$L$7</c:f>
              <c:numCache>
                <c:formatCode>0.0000000%</c:formatCode>
                <c:ptCount val="5"/>
                <c:pt idx="0">
                  <c:v>0.83486898788708119</c:v>
                </c:pt>
                <c:pt idx="1">
                  <c:v>0.89541481955998981</c:v>
                </c:pt>
                <c:pt idx="2">
                  <c:v>0.86952657803768796</c:v>
                </c:pt>
                <c:pt idx="3">
                  <c:v>0.88894526635540305</c:v>
                </c:pt>
                <c:pt idx="4">
                  <c:v>0.81804081393025585</c:v>
                </c:pt>
              </c:numCache>
            </c:numRef>
          </c:val>
          <c:extLst>
            <c:ext xmlns:c16="http://schemas.microsoft.com/office/drawing/2014/chart" uri="{C3380CC4-5D6E-409C-BE32-E72D297353CC}">
              <c16:uniqueId val="{00000000-B941-45AD-96CD-2F2E89A9EB08}"/>
            </c:ext>
          </c:extLst>
        </c:ser>
        <c:dLbls>
          <c:showLegendKey val="0"/>
          <c:showVal val="0"/>
          <c:showCatName val="0"/>
          <c:showSerName val="0"/>
          <c:showPercent val="0"/>
          <c:showBubbleSize val="0"/>
        </c:dLbls>
        <c:gapWidth val="219"/>
        <c:overlap val="-27"/>
        <c:axId val="1351487008"/>
        <c:axId val="1233222704"/>
      </c:barChart>
      <c:catAx>
        <c:axId val="135148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22704"/>
        <c:crosses val="autoZero"/>
        <c:auto val="1"/>
        <c:lblAlgn val="ctr"/>
        <c:lblOffset val="100"/>
        <c:noMultiLvlLbl val="0"/>
      </c:catAx>
      <c:valAx>
        <c:axId val="123322270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487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Cyber Liability</a:t>
            </a:r>
            <a:r>
              <a:rPr lang="en-US" baseline="0"/>
              <a:t> Loss Ratio 2021-2025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A'!$H$17:$L$17</c:f>
              <c:numCache>
                <c:formatCode>General</c:formatCode>
                <c:ptCount val="5"/>
                <c:pt idx="0">
                  <c:v>2021</c:v>
                </c:pt>
                <c:pt idx="1">
                  <c:v>2022</c:v>
                </c:pt>
                <c:pt idx="2">
                  <c:v>2023</c:v>
                </c:pt>
                <c:pt idx="3">
                  <c:v>2024</c:v>
                </c:pt>
                <c:pt idx="4">
                  <c:v>2025</c:v>
                </c:pt>
              </c:numCache>
            </c:numRef>
          </c:cat>
          <c:val>
            <c:numRef>
              <c:f>'Exhibit A'!$H$18:$L$18</c:f>
              <c:numCache>
                <c:formatCode>0.0000000%</c:formatCode>
                <c:ptCount val="5"/>
                <c:pt idx="0">
                  <c:v>0.58223162866923672</c:v>
                </c:pt>
                <c:pt idx="1">
                  <c:v>0.63122799733336454</c:v>
                </c:pt>
                <c:pt idx="2">
                  <c:v>0.64477700470625932</c:v>
                </c:pt>
                <c:pt idx="3">
                  <c:v>0.688221945484215</c:v>
                </c:pt>
                <c:pt idx="4">
                  <c:v>0.69636508879996062</c:v>
                </c:pt>
              </c:numCache>
            </c:numRef>
          </c:val>
          <c:extLst>
            <c:ext xmlns:c16="http://schemas.microsoft.com/office/drawing/2014/chart" uri="{C3380CC4-5D6E-409C-BE32-E72D297353CC}">
              <c16:uniqueId val="{00000000-ABBC-41F4-AEE5-F667BBB75377}"/>
            </c:ext>
          </c:extLst>
        </c:ser>
        <c:dLbls>
          <c:showLegendKey val="0"/>
          <c:showVal val="0"/>
          <c:showCatName val="0"/>
          <c:showSerName val="0"/>
          <c:showPercent val="0"/>
          <c:showBubbleSize val="0"/>
        </c:dLbls>
        <c:gapWidth val="219"/>
        <c:overlap val="-27"/>
        <c:axId val="1351532016"/>
        <c:axId val="1233338864"/>
      </c:barChart>
      <c:catAx>
        <c:axId val="135153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38864"/>
        <c:crosses val="autoZero"/>
        <c:auto val="1"/>
        <c:lblAlgn val="ctr"/>
        <c:lblOffset val="100"/>
        <c:noMultiLvlLbl val="0"/>
      </c:catAx>
      <c:valAx>
        <c:axId val="123333886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32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Cyber</a:t>
            </a:r>
            <a:r>
              <a:rPr lang="en-US" baseline="0"/>
              <a:t> Liability Expense Ratio 2021-2025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A'!$H$17:$L$17</c:f>
              <c:numCache>
                <c:formatCode>General</c:formatCode>
                <c:ptCount val="5"/>
                <c:pt idx="0">
                  <c:v>2021</c:v>
                </c:pt>
                <c:pt idx="1">
                  <c:v>2022</c:v>
                </c:pt>
                <c:pt idx="2">
                  <c:v>2023</c:v>
                </c:pt>
                <c:pt idx="3">
                  <c:v>2024</c:v>
                </c:pt>
                <c:pt idx="4">
                  <c:v>2025</c:v>
                </c:pt>
              </c:numCache>
            </c:numRef>
          </c:cat>
          <c:val>
            <c:numRef>
              <c:f>'Exhibit A'!$H$19:$L$19</c:f>
              <c:numCache>
                <c:formatCode>0.0000000%</c:formatCode>
                <c:ptCount val="5"/>
                <c:pt idx="0">
                  <c:v>0.2799995420354236</c:v>
                </c:pt>
                <c:pt idx="1">
                  <c:v>0.27999964912691078</c:v>
                </c:pt>
                <c:pt idx="2">
                  <c:v>0.28000005772780479</c:v>
                </c:pt>
                <c:pt idx="3">
                  <c:v>0.27999965387718839</c:v>
                </c:pt>
                <c:pt idx="4">
                  <c:v>0.27999984856114152</c:v>
                </c:pt>
              </c:numCache>
            </c:numRef>
          </c:val>
          <c:extLst>
            <c:ext xmlns:c16="http://schemas.microsoft.com/office/drawing/2014/chart" uri="{C3380CC4-5D6E-409C-BE32-E72D297353CC}">
              <c16:uniqueId val="{00000000-95B2-4CC5-9797-22BFB97C29F2}"/>
            </c:ext>
          </c:extLst>
        </c:ser>
        <c:dLbls>
          <c:showLegendKey val="0"/>
          <c:showVal val="0"/>
          <c:showCatName val="0"/>
          <c:showSerName val="0"/>
          <c:showPercent val="0"/>
          <c:showBubbleSize val="0"/>
        </c:dLbls>
        <c:gapWidth val="219"/>
        <c:overlap val="-27"/>
        <c:axId val="1238270256"/>
        <c:axId val="1233324464"/>
      </c:barChart>
      <c:catAx>
        <c:axId val="123827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24464"/>
        <c:crosses val="autoZero"/>
        <c:auto val="1"/>
        <c:lblAlgn val="ctr"/>
        <c:lblOffset val="100"/>
        <c:noMultiLvlLbl val="0"/>
      </c:catAx>
      <c:valAx>
        <c:axId val="123332446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270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Cyber Liability Combined</a:t>
            </a:r>
            <a:r>
              <a:rPr lang="en-US" baseline="0"/>
              <a:t> Ratio 2021-2025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A'!$H$17:$L$17</c:f>
              <c:numCache>
                <c:formatCode>General</c:formatCode>
                <c:ptCount val="5"/>
                <c:pt idx="0">
                  <c:v>2021</c:v>
                </c:pt>
                <c:pt idx="1">
                  <c:v>2022</c:v>
                </c:pt>
                <c:pt idx="2">
                  <c:v>2023</c:v>
                </c:pt>
                <c:pt idx="3">
                  <c:v>2024</c:v>
                </c:pt>
                <c:pt idx="4">
                  <c:v>2025</c:v>
                </c:pt>
              </c:numCache>
            </c:numRef>
          </c:cat>
          <c:val>
            <c:numRef>
              <c:f>'Exhibit A'!$H$20:$L$20</c:f>
              <c:numCache>
                <c:formatCode>0.0000000%</c:formatCode>
                <c:ptCount val="5"/>
                <c:pt idx="0">
                  <c:v>0.86223117070466038</c:v>
                </c:pt>
                <c:pt idx="1">
                  <c:v>0.91122764646027532</c:v>
                </c:pt>
                <c:pt idx="2">
                  <c:v>0.9247770624340641</c:v>
                </c:pt>
                <c:pt idx="3">
                  <c:v>0.9682215993614034</c:v>
                </c:pt>
                <c:pt idx="4">
                  <c:v>0.97636493736110208</c:v>
                </c:pt>
              </c:numCache>
            </c:numRef>
          </c:val>
          <c:extLst>
            <c:ext xmlns:c16="http://schemas.microsoft.com/office/drawing/2014/chart" uri="{C3380CC4-5D6E-409C-BE32-E72D297353CC}">
              <c16:uniqueId val="{00000000-32CF-47D2-BF23-C00DB185CCA2}"/>
            </c:ext>
          </c:extLst>
        </c:ser>
        <c:dLbls>
          <c:showLegendKey val="0"/>
          <c:showVal val="0"/>
          <c:showCatName val="0"/>
          <c:showSerName val="0"/>
          <c:showPercent val="0"/>
          <c:showBubbleSize val="0"/>
        </c:dLbls>
        <c:gapWidth val="219"/>
        <c:overlap val="-27"/>
        <c:axId val="1351515312"/>
        <c:axId val="1233226064"/>
      </c:barChart>
      <c:catAx>
        <c:axId val="135151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26064"/>
        <c:crosses val="autoZero"/>
        <c:auto val="1"/>
        <c:lblAlgn val="ctr"/>
        <c:lblOffset val="100"/>
        <c:noMultiLvlLbl val="0"/>
      </c:catAx>
      <c:valAx>
        <c:axId val="123322606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15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E&amp;O UP Ratio 2021-2025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A'!$H$4:$L$4</c:f>
              <c:numCache>
                <c:formatCode>General</c:formatCode>
                <c:ptCount val="5"/>
                <c:pt idx="0">
                  <c:v>2021</c:v>
                </c:pt>
                <c:pt idx="1">
                  <c:v>2022</c:v>
                </c:pt>
                <c:pt idx="2">
                  <c:v>2023</c:v>
                </c:pt>
                <c:pt idx="3">
                  <c:v>2024</c:v>
                </c:pt>
                <c:pt idx="4">
                  <c:v>2025</c:v>
                </c:pt>
              </c:numCache>
            </c:numRef>
          </c:cat>
          <c:val>
            <c:numRef>
              <c:f>'Exhibit A'!$H$11:$L$11</c:f>
              <c:numCache>
                <c:formatCode>0.0000000%</c:formatCode>
                <c:ptCount val="5"/>
                <c:pt idx="0">
                  <c:v>0.16513101211291881</c:v>
                </c:pt>
                <c:pt idx="1">
                  <c:v>0.10458518044001019</c:v>
                </c:pt>
                <c:pt idx="2">
                  <c:v>0.13047342196231204</c:v>
                </c:pt>
                <c:pt idx="3">
                  <c:v>0.11105473364459695</c:v>
                </c:pt>
                <c:pt idx="4">
                  <c:v>0.18195918606974415</c:v>
                </c:pt>
              </c:numCache>
            </c:numRef>
          </c:val>
          <c:extLst>
            <c:ext xmlns:c16="http://schemas.microsoft.com/office/drawing/2014/chart" uri="{C3380CC4-5D6E-409C-BE32-E72D297353CC}">
              <c16:uniqueId val="{00000000-4705-47C1-BF67-D5FAB1F1B0E5}"/>
            </c:ext>
          </c:extLst>
        </c:ser>
        <c:dLbls>
          <c:showLegendKey val="0"/>
          <c:showVal val="0"/>
          <c:showCatName val="0"/>
          <c:showSerName val="0"/>
          <c:showPercent val="0"/>
          <c:showBubbleSize val="0"/>
        </c:dLbls>
        <c:gapWidth val="219"/>
        <c:overlap val="-27"/>
        <c:axId val="1238261904"/>
        <c:axId val="1233214064"/>
      </c:barChart>
      <c:catAx>
        <c:axId val="123826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14064"/>
        <c:crosses val="autoZero"/>
        <c:auto val="1"/>
        <c:lblAlgn val="ctr"/>
        <c:lblOffset val="100"/>
        <c:noMultiLvlLbl val="0"/>
      </c:catAx>
      <c:valAx>
        <c:axId val="123321406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261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Cyber Liability UP Ratio 2021-2025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A'!$H$17:$L$17</c:f>
              <c:numCache>
                <c:formatCode>General</c:formatCode>
                <c:ptCount val="5"/>
                <c:pt idx="0">
                  <c:v>2021</c:v>
                </c:pt>
                <c:pt idx="1">
                  <c:v>2022</c:v>
                </c:pt>
                <c:pt idx="2">
                  <c:v>2023</c:v>
                </c:pt>
                <c:pt idx="3">
                  <c:v>2024</c:v>
                </c:pt>
                <c:pt idx="4">
                  <c:v>2025</c:v>
                </c:pt>
              </c:numCache>
            </c:numRef>
          </c:cat>
          <c:val>
            <c:numRef>
              <c:f>'Exhibit A'!$H$24:$L$24</c:f>
              <c:numCache>
                <c:formatCode>0.0000000%</c:formatCode>
                <c:ptCount val="5"/>
                <c:pt idx="0">
                  <c:v>0.13776882929533962</c:v>
                </c:pt>
                <c:pt idx="1">
                  <c:v>8.877235353972468E-2</c:v>
                </c:pt>
                <c:pt idx="2">
                  <c:v>7.5222937565935899E-2</c:v>
                </c:pt>
                <c:pt idx="3">
                  <c:v>3.1778400638596604E-2</c:v>
                </c:pt>
                <c:pt idx="4">
                  <c:v>2.3635062638897919E-2</c:v>
                </c:pt>
              </c:numCache>
            </c:numRef>
          </c:val>
          <c:extLst>
            <c:ext xmlns:c16="http://schemas.microsoft.com/office/drawing/2014/chart" uri="{C3380CC4-5D6E-409C-BE32-E72D297353CC}">
              <c16:uniqueId val="{00000000-18CE-4683-9F34-C4ECD291AB32}"/>
            </c:ext>
          </c:extLst>
        </c:ser>
        <c:dLbls>
          <c:showLegendKey val="0"/>
          <c:showVal val="0"/>
          <c:showCatName val="0"/>
          <c:showSerName val="0"/>
          <c:showPercent val="0"/>
          <c:showBubbleSize val="0"/>
        </c:dLbls>
        <c:gapWidth val="219"/>
        <c:overlap val="-27"/>
        <c:axId val="997261184"/>
        <c:axId val="1233326384"/>
      </c:barChart>
      <c:catAx>
        <c:axId val="99726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26384"/>
        <c:crosses val="autoZero"/>
        <c:auto val="1"/>
        <c:lblAlgn val="ctr"/>
        <c:lblOffset val="100"/>
        <c:noMultiLvlLbl val="0"/>
      </c:catAx>
      <c:valAx>
        <c:axId val="123332638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261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Tech Products Liability</a:t>
            </a:r>
            <a:r>
              <a:rPr lang="en-US" baseline="0"/>
              <a:t> Loss Ratio 2021-2025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A'!$H$30:$L$30</c:f>
              <c:numCache>
                <c:formatCode>General</c:formatCode>
                <c:ptCount val="5"/>
                <c:pt idx="0">
                  <c:v>2021</c:v>
                </c:pt>
                <c:pt idx="1">
                  <c:v>2022</c:v>
                </c:pt>
                <c:pt idx="2">
                  <c:v>2023</c:v>
                </c:pt>
                <c:pt idx="3">
                  <c:v>2024</c:v>
                </c:pt>
                <c:pt idx="4">
                  <c:v>2025</c:v>
                </c:pt>
              </c:numCache>
            </c:numRef>
          </c:cat>
          <c:val>
            <c:numRef>
              <c:f>'Exhibit A'!$H$31:$L$31</c:f>
              <c:numCache>
                <c:formatCode>0.0000000%</c:formatCode>
                <c:ptCount val="5"/>
                <c:pt idx="0">
                  <c:v>0.6990181181049252</c:v>
                </c:pt>
                <c:pt idx="1">
                  <c:v>0.69151279706507385</c:v>
                </c:pt>
                <c:pt idx="2">
                  <c:v>0.61033097182512241</c:v>
                </c:pt>
                <c:pt idx="3">
                  <c:v>0.52039032512591932</c:v>
                </c:pt>
                <c:pt idx="4">
                  <c:v>0.5475832847710258</c:v>
                </c:pt>
              </c:numCache>
            </c:numRef>
          </c:val>
          <c:extLst>
            <c:ext xmlns:c16="http://schemas.microsoft.com/office/drawing/2014/chart" uri="{C3380CC4-5D6E-409C-BE32-E72D297353CC}">
              <c16:uniqueId val="{00000000-9599-48C1-9C60-1C6DF3EFE7CF}"/>
            </c:ext>
          </c:extLst>
        </c:ser>
        <c:dLbls>
          <c:showLegendKey val="0"/>
          <c:showVal val="0"/>
          <c:showCatName val="0"/>
          <c:showSerName val="0"/>
          <c:showPercent val="0"/>
          <c:showBubbleSize val="0"/>
        </c:dLbls>
        <c:gapWidth val="219"/>
        <c:overlap val="-27"/>
        <c:axId val="1351564496"/>
        <c:axId val="1233262544"/>
      </c:barChart>
      <c:catAx>
        <c:axId val="135156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62544"/>
        <c:crosses val="autoZero"/>
        <c:auto val="1"/>
        <c:lblAlgn val="ctr"/>
        <c:lblOffset val="100"/>
        <c:noMultiLvlLbl val="0"/>
      </c:catAx>
      <c:valAx>
        <c:axId val="123326254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64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Tech</a:t>
            </a:r>
            <a:r>
              <a:rPr lang="en-US" baseline="0"/>
              <a:t> Products Expense Ratio 2021-2025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A'!$H$30:$L$30</c:f>
              <c:numCache>
                <c:formatCode>General</c:formatCode>
                <c:ptCount val="5"/>
                <c:pt idx="0">
                  <c:v>2021</c:v>
                </c:pt>
                <c:pt idx="1">
                  <c:v>2022</c:v>
                </c:pt>
                <c:pt idx="2">
                  <c:v>2023</c:v>
                </c:pt>
                <c:pt idx="3">
                  <c:v>2024</c:v>
                </c:pt>
                <c:pt idx="4">
                  <c:v>2025</c:v>
                </c:pt>
              </c:numCache>
            </c:numRef>
          </c:cat>
          <c:val>
            <c:numRef>
              <c:f>'Exhibit A'!$H$32:$L$32</c:f>
              <c:numCache>
                <c:formatCode>0.0000000%</c:formatCode>
                <c:ptCount val="5"/>
                <c:pt idx="0">
                  <c:v>0.25</c:v>
                </c:pt>
                <c:pt idx="1">
                  <c:v>0.25000054046224657</c:v>
                </c:pt>
                <c:pt idx="2">
                  <c:v>0.24999954151406723</c:v>
                </c:pt>
                <c:pt idx="3">
                  <c:v>0.24999950561717763</c:v>
                </c:pt>
                <c:pt idx="4">
                  <c:v>0.2499997518110349</c:v>
                </c:pt>
              </c:numCache>
            </c:numRef>
          </c:val>
          <c:extLst>
            <c:ext xmlns:c16="http://schemas.microsoft.com/office/drawing/2014/chart" uri="{C3380CC4-5D6E-409C-BE32-E72D297353CC}">
              <c16:uniqueId val="{00000000-7A2C-473F-8787-5CC6C70B52BD}"/>
            </c:ext>
          </c:extLst>
        </c:ser>
        <c:dLbls>
          <c:showLegendKey val="0"/>
          <c:showVal val="0"/>
          <c:showCatName val="0"/>
          <c:showSerName val="0"/>
          <c:showPercent val="0"/>
          <c:showBubbleSize val="0"/>
        </c:dLbls>
        <c:gapWidth val="219"/>
        <c:overlap val="-27"/>
        <c:axId val="1238313408"/>
        <c:axId val="1233315344"/>
      </c:barChart>
      <c:catAx>
        <c:axId val="123831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15344"/>
        <c:crosses val="autoZero"/>
        <c:auto val="1"/>
        <c:lblAlgn val="ctr"/>
        <c:lblOffset val="100"/>
        <c:noMultiLvlLbl val="0"/>
      </c:catAx>
      <c:valAx>
        <c:axId val="123331534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313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Tech Products Combined</a:t>
            </a:r>
            <a:r>
              <a:rPr lang="en-US" baseline="0"/>
              <a:t> Ratio 2021-2025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A'!$H$30:$L$30</c:f>
              <c:numCache>
                <c:formatCode>General</c:formatCode>
                <c:ptCount val="5"/>
                <c:pt idx="0">
                  <c:v>2021</c:v>
                </c:pt>
                <c:pt idx="1">
                  <c:v>2022</c:v>
                </c:pt>
                <c:pt idx="2">
                  <c:v>2023</c:v>
                </c:pt>
                <c:pt idx="3">
                  <c:v>2024</c:v>
                </c:pt>
                <c:pt idx="4">
                  <c:v>2025</c:v>
                </c:pt>
              </c:numCache>
            </c:numRef>
          </c:cat>
          <c:val>
            <c:numRef>
              <c:f>'Exhibit A'!$H$33:$L$33</c:f>
              <c:numCache>
                <c:formatCode>0.0000000%</c:formatCode>
                <c:ptCount val="5"/>
                <c:pt idx="0">
                  <c:v>0.9490181181049252</c:v>
                </c:pt>
                <c:pt idx="1">
                  <c:v>0.94151333752732036</c:v>
                </c:pt>
                <c:pt idx="2">
                  <c:v>0.86033051333918964</c:v>
                </c:pt>
                <c:pt idx="3">
                  <c:v>0.77038983074309697</c:v>
                </c:pt>
                <c:pt idx="4">
                  <c:v>0.79758303658206064</c:v>
                </c:pt>
              </c:numCache>
            </c:numRef>
          </c:val>
          <c:extLst>
            <c:ext xmlns:c16="http://schemas.microsoft.com/office/drawing/2014/chart" uri="{C3380CC4-5D6E-409C-BE32-E72D297353CC}">
              <c16:uniqueId val="{00000000-D653-42E8-8886-8D0DFD8CE0E8}"/>
            </c:ext>
          </c:extLst>
        </c:ser>
        <c:dLbls>
          <c:showLegendKey val="0"/>
          <c:showVal val="0"/>
          <c:showCatName val="0"/>
          <c:showSerName val="0"/>
          <c:showPercent val="0"/>
          <c:showBubbleSize val="0"/>
        </c:dLbls>
        <c:gapWidth val="219"/>
        <c:overlap val="-27"/>
        <c:axId val="1238318512"/>
        <c:axId val="1233349904"/>
      </c:barChart>
      <c:catAx>
        <c:axId val="123831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49904"/>
        <c:crosses val="autoZero"/>
        <c:auto val="1"/>
        <c:lblAlgn val="ctr"/>
        <c:lblOffset val="100"/>
        <c:noMultiLvlLbl val="0"/>
      </c:catAx>
      <c:valAx>
        <c:axId val="123334990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318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Tech Products UP Ratio 2021-2025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A'!$H$30:$L$30</c:f>
              <c:numCache>
                <c:formatCode>General</c:formatCode>
                <c:ptCount val="5"/>
                <c:pt idx="0">
                  <c:v>2021</c:v>
                </c:pt>
                <c:pt idx="1">
                  <c:v>2022</c:v>
                </c:pt>
                <c:pt idx="2">
                  <c:v>2023</c:v>
                </c:pt>
                <c:pt idx="3">
                  <c:v>2024</c:v>
                </c:pt>
                <c:pt idx="4">
                  <c:v>2025</c:v>
                </c:pt>
              </c:numCache>
            </c:numRef>
          </c:cat>
          <c:val>
            <c:numRef>
              <c:f>'Exhibit A'!$H$37:$L$37</c:f>
              <c:numCache>
                <c:formatCode>0.0000000%</c:formatCode>
                <c:ptCount val="5"/>
                <c:pt idx="0">
                  <c:v>5.0981881895074799E-2</c:v>
                </c:pt>
                <c:pt idx="1">
                  <c:v>5.848666247267964E-2</c:v>
                </c:pt>
                <c:pt idx="2">
                  <c:v>0.13966948666081036</c:v>
                </c:pt>
                <c:pt idx="3">
                  <c:v>0.22961016925690303</c:v>
                </c:pt>
                <c:pt idx="4">
                  <c:v>0.20241696341793936</c:v>
                </c:pt>
              </c:numCache>
            </c:numRef>
          </c:val>
          <c:extLst>
            <c:ext xmlns:c16="http://schemas.microsoft.com/office/drawing/2014/chart" uri="{C3380CC4-5D6E-409C-BE32-E72D297353CC}">
              <c16:uniqueId val="{00000000-EF7C-46EC-939B-CB45A71E265F}"/>
            </c:ext>
          </c:extLst>
        </c:ser>
        <c:dLbls>
          <c:showLegendKey val="0"/>
          <c:showVal val="0"/>
          <c:showCatName val="0"/>
          <c:showSerName val="0"/>
          <c:showPercent val="0"/>
          <c:showBubbleSize val="0"/>
        </c:dLbls>
        <c:gapWidth val="219"/>
        <c:overlap val="-27"/>
        <c:axId val="1351595584"/>
        <c:axId val="1233156944"/>
      </c:barChart>
      <c:catAx>
        <c:axId val="135159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156944"/>
        <c:crosses val="autoZero"/>
        <c:auto val="1"/>
        <c:lblAlgn val="ctr"/>
        <c:lblOffset val="100"/>
        <c:noMultiLvlLbl val="0"/>
      </c:catAx>
      <c:valAx>
        <c:axId val="123315694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95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CGL Loss Ratio 2021-2025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A'!$H$43:$L$43</c:f>
              <c:numCache>
                <c:formatCode>General</c:formatCode>
                <c:ptCount val="5"/>
                <c:pt idx="0">
                  <c:v>2021</c:v>
                </c:pt>
                <c:pt idx="1">
                  <c:v>2022</c:v>
                </c:pt>
                <c:pt idx="2">
                  <c:v>2023</c:v>
                </c:pt>
                <c:pt idx="3">
                  <c:v>2024</c:v>
                </c:pt>
                <c:pt idx="4">
                  <c:v>2025</c:v>
                </c:pt>
              </c:numCache>
            </c:numRef>
          </c:cat>
          <c:val>
            <c:numRef>
              <c:f>'Exhibit A'!$H$44:$L$44</c:f>
              <c:numCache>
                <c:formatCode>0.0000000%</c:formatCode>
                <c:ptCount val="5"/>
                <c:pt idx="0">
                  <c:v>0.54508240465195668</c:v>
                </c:pt>
                <c:pt idx="1">
                  <c:v>0.55276148465478059</c:v>
                </c:pt>
                <c:pt idx="2">
                  <c:v>0.55534497617309997</c:v>
                </c:pt>
                <c:pt idx="3">
                  <c:v>0.54895378654290417</c:v>
                </c:pt>
                <c:pt idx="4">
                  <c:v>0.55467226590536411</c:v>
                </c:pt>
              </c:numCache>
            </c:numRef>
          </c:val>
          <c:extLst>
            <c:ext xmlns:c16="http://schemas.microsoft.com/office/drawing/2014/chart" uri="{C3380CC4-5D6E-409C-BE32-E72D297353CC}">
              <c16:uniqueId val="{00000000-1DEF-456B-814C-F30796073F55}"/>
            </c:ext>
          </c:extLst>
        </c:ser>
        <c:dLbls>
          <c:showLegendKey val="0"/>
          <c:showVal val="0"/>
          <c:showCatName val="0"/>
          <c:showSerName val="0"/>
          <c:showPercent val="0"/>
          <c:showBubbleSize val="0"/>
        </c:dLbls>
        <c:gapWidth val="219"/>
        <c:overlap val="-27"/>
        <c:axId val="1440147696"/>
        <c:axId val="1233245744"/>
      </c:barChart>
      <c:catAx>
        <c:axId val="144014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45744"/>
        <c:crosses val="autoZero"/>
        <c:auto val="1"/>
        <c:lblAlgn val="ctr"/>
        <c:lblOffset val="100"/>
        <c:noMultiLvlLbl val="0"/>
      </c:catAx>
      <c:valAx>
        <c:axId val="123324574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147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CGL Expense Ratio 2021-2025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A'!$H$43:$L$43</c:f>
              <c:numCache>
                <c:formatCode>General</c:formatCode>
                <c:ptCount val="5"/>
                <c:pt idx="0">
                  <c:v>2021</c:v>
                </c:pt>
                <c:pt idx="1">
                  <c:v>2022</c:v>
                </c:pt>
                <c:pt idx="2">
                  <c:v>2023</c:v>
                </c:pt>
                <c:pt idx="3">
                  <c:v>2024</c:v>
                </c:pt>
                <c:pt idx="4">
                  <c:v>2025</c:v>
                </c:pt>
              </c:numCache>
            </c:numRef>
          </c:cat>
          <c:val>
            <c:numRef>
              <c:f>'Exhibit A'!$H$45:$L$45</c:f>
              <c:numCache>
                <c:formatCode>0.0000000%</c:formatCode>
                <c:ptCount val="5"/>
                <c:pt idx="0">
                  <c:v>0.21999980251659682</c:v>
                </c:pt>
                <c:pt idx="1">
                  <c:v>0.2200001043940896</c:v>
                </c:pt>
                <c:pt idx="2">
                  <c:v>0.21999998114214486</c:v>
                </c:pt>
                <c:pt idx="3">
                  <c:v>0.22000010126353883</c:v>
                </c:pt>
                <c:pt idx="4">
                  <c:v>0.21999991442834391</c:v>
                </c:pt>
              </c:numCache>
            </c:numRef>
          </c:val>
          <c:extLst>
            <c:ext xmlns:c16="http://schemas.microsoft.com/office/drawing/2014/chart" uri="{C3380CC4-5D6E-409C-BE32-E72D297353CC}">
              <c16:uniqueId val="{00000000-5856-4367-8B76-79CFA18A8D2A}"/>
            </c:ext>
          </c:extLst>
        </c:ser>
        <c:dLbls>
          <c:showLegendKey val="0"/>
          <c:showVal val="0"/>
          <c:showCatName val="0"/>
          <c:showSerName val="0"/>
          <c:showPercent val="0"/>
          <c:showBubbleSize val="0"/>
        </c:dLbls>
        <c:gapWidth val="219"/>
        <c:overlap val="-27"/>
        <c:axId val="1440122640"/>
        <c:axId val="1233267824"/>
      </c:barChart>
      <c:catAx>
        <c:axId val="144012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67824"/>
        <c:crosses val="autoZero"/>
        <c:auto val="1"/>
        <c:lblAlgn val="ctr"/>
        <c:lblOffset val="100"/>
        <c:noMultiLvlLbl val="0"/>
      </c:catAx>
      <c:valAx>
        <c:axId val="12332678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122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CGL Combined Ratio 2021-2025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A'!$H$43:$L$43</c:f>
              <c:numCache>
                <c:formatCode>General</c:formatCode>
                <c:ptCount val="5"/>
                <c:pt idx="0">
                  <c:v>2021</c:v>
                </c:pt>
                <c:pt idx="1">
                  <c:v>2022</c:v>
                </c:pt>
                <c:pt idx="2">
                  <c:v>2023</c:v>
                </c:pt>
                <c:pt idx="3">
                  <c:v>2024</c:v>
                </c:pt>
                <c:pt idx="4">
                  <c:v>2025</c:v>
                </c:pt>
              </c:numCache>
            </c:numRef>
          </c:cat>
          <c:val>
            <c:numRef>
              <c:f>'Exhibit A'!$H$46:$L$46</c:f>
              <c:numCache>
                <c:formatCode>0.0000000%</c:formatCode>
                <c:ptCount val="5"/>
                <c:pt idx="0">
                  <c:v>0.76508220716855346</c:v>
                </c:pt>
                <c:pt idx="1">
                  <c:v>0.77276158904887016</c:v>
                </c:pt>
                <c:pt idx="2">
                  <c:v>0.77534495731524489</c:v>
                </c:pt>
                <c:pt idx="3">
                  <c:v>0.76895388780644303</c:v>
                </c:pt>
                <c:pt idx="4">
                  <c:v>0.77467218033370799</c:v>
                </c:pt>
              </c:numCache>
            </c:numRef>
          </c:val>
          <c:extLst>
            <c:ext xmlns:c16="http://schemas.microsoft.com/office/drawing/2014/chart" uri="{C3380CC4-5D6E-409C-BE32-E72D297353CC}">
              <c16:uniqueId val="{00000000-1BCF-49D0-AA7D-475E071D659E}"/>
            </c:ext>
          </c:extLst>
        </c:ser>
        <c:dLbls>
          <c:showLegendKey val="0"/>
          <c:showVal val="0"/>
          <c:showCatName val="0"/>
          <c:showSerName val="0"/>
          <c:showPercent val="0"/>
          <c:showBubbleSize val="0"/>
        </c:dLbls>
        <c:gapWidth val="219"/>
        <c:overlap val="-27"/>
        <c:axId val="1440113824"/>
        <c:axId val="1233241424"/>
      </c:barChart>
      <c:catAx>
        <c:axId val="144011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41424"/>
        <c:crosses val="autoZero"/>
        <c:auto val="1"/>
        <c:lblAlgn val="ctr"/>
        <c:lblOffset val="100"/>
        <c:noMultiLvlLbl val="0"/>
      </c:catAx>
      <c:valAx>
        <c:axId val="12332414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113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CGL UP Ratio 2021-2025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A'!$H$43:$L$43</c:f>
              <c:numCache>
                <c:formatCode>General</c:formatCode>
                <c:ptCount val="5"/>
                <c:pt idx="0">
                  <c:v>2021</c:v>
                </c:pt>
                <c:pt idx="1">
                  <c:v>2022</c:v>
                </c:pt>
                <c:pt idx="2">
                  <c:v>2023</c:v>
                </c:pt>
                <c:pt idx="3">
                  <c:v>2024</c:v>
                </c:pt>
                <c:pt idx="4">
                  <c:v>2025</c:v>
                </c:pt>
              </c:numCache>
            </c:numRef>
          </c:cat>
          <c:val>
            <c:numRef>
              <c:f>'Exhibit A'!$H$50:$L$50</c:f>
              <c:numCache>
                <c:formatCode>0.0000000%</c:formatCode>
                <c:ptCount val="5"/>
                <c:pt idx="0">
                  <c:v>0.23491779283144654</c:v>
                </c:pt>
                <c:pt idx="1">
                  <c:v>0.22723841095112984</c:v>
                </c:pt>
                <c:pt idx="2">
                  <c:v>0.22465504268475511</c:v>
                </c:pt>
                <c:pt idx="3">
                  <c:v>0.23104611219355697</c:v>
                </c:pt>
                <c:pt idx="4">
                  <c:v>0.22532781966629201</c:v>
                </c:pt>
              </c:numCache>
            </c:numRef>
          </c:val>
          <c:extLst>
            <c:ext xmlns:c16="http://schemas.microsoft.com/office/drawing/2014/chart" uri="{C3380CC4-5D6E-409C-BE32-E72D297353CC}">
              <c16:uniqueId val="{00000000-1F61-47D6-82EB-FA66CDF7AE3C}"/>
            </c:ext>
          </c:extLst>
        </c:ser>
        <c:dLbls>
          <c:showLegendKey val="0"/>
          <c:showVal val="0"/>
          <c:showCatName val="0"/>
          <c:showSerName val="0"/>
          <c:showPercent val="0"/>
          <c:showBubbleSize val="0"/>
        </c:dLbls>
        <c:gapWidth val="219"/>
        <c:overlap val="-27"/>
        <c:axId val="1440069280"/>
        <c:axId val="1233239504"/>
      </c:barChart>
      <c:catAx>
        <c:axId val="144006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39504"/>
        <c:crosses val="autoZero"/>
        <c:auto val="1"/>
        <c:lblAlgn val="ctr"/>
        <c:lblOffset val="100"/>
        <c:noMultiLvlLbl val="0"/>
      </c:catAx>
      <c:valAx>
        <c:axId val="123323950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069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 Loss Ratio 2021-2025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A'!$H$56:$L$56</c:f>
              <c:numCache>
                <c:formatCode>General</c:formatCode>
                <c:ptCount val="5"/>
                <c:pt idx="0">
                  <c:v>2021</c:v>
                </c:pt>
                <c:pt idx="1">
                  <c:v>2022</c:v>
                </c:pt>
                <c:pt idx="2">
                  <c:v>2023</c:v>
                </c:pt>
                <c:pt idx="3">
                  <c:v>2024</c:v>
                </c:pt>
                <c:pt idx="4">
                  <c:v>2025</c:v>
                </c:pt>
              </c:numCache>
            </c:numRef>
          </c:cat>
          <c:val>
            <c:numRef>
              <c:f>'Exhibit A'!$H$57:$L$57</c:f>
              <c:numCache>
                <c:formatCode>0.0000000%</c:formatCode>
                <c:ptCount val="5"/>
                <c:pt idx="0">
                  <c:v>0.5910103782613414</c:v>
                </c:pt>
                <c:pt idx="1">
                  <c:v>0.59923241796908888</c:v>
                </c:pt>
                <c:pt idx="2">
                  <c:v>0.60829227521739382</c:v>
                </c:pt>
                <c:pt idx="3">
                  <c:v>0.60204645283190139</c:v>
                </c:pt>
                <c:pt idx="4">
                  <c:v>0.59266867136141255</c:v>
                </c:pt>
              </c:numCache>
            </c:numRef>
          </c:val>
          <c:extLst>
            <c:ext xmlns:c16="http://schemas.microsoft.com/office/drawing/2014/chart" uri="{C3380CC4-5D6E-409C-BE32-E72D297353CC}">
              <c16:uniqueId val="{00000000-5B46-4997-B6C8-CA40E877E7E1}"/>
            </c:ext>
          </c:extLst>
        </c:ser>
        <c:dLbls>
          <c:showLegendKey val="0"/>
          <c:showVal val="0"/>
          <c:showCatName val="0"/>
          <c:showSerName val="0"/>
          <c:showPercent val="0"/>
          <c:showBubbleSize val="0"/>
        </c:dLbls>
        <c:gapWidth val="219"/>
        <c:overlap val="-27"/>
        <c:axId val="1238273968"/>
        <c:axId val="1233384944"/>
      </c:barChart>
      <c:catAx>
        <c:axId val="123827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84944"/>
        <c:crosses val="autoZero"/>
        <c:auto val="1"/>
        <c:lblAlgn val="ctr"/>
        <c:lblOffset val="100"/>
        <c:noMultiLvlLbl val="0"/>
      </c:catAx>
      <c:valAx>
        <c:axId val="123338494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273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 Expense Ratio 2021-2025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A'!$H$56:$L$56</c:f>
              <c:numCache>
                <c:formatCode>General</c:formatCode>
                <c:ptCount val="5"/>
                <c:pt idx="0">
                  <c:v>2021</c:v>
                </c:pt>
                <c:pt idx="1">
                  <c:v>2022</c:v>
                </c:pt>
                <c:pt idx="2">
                  <c:v>2023</c:v>
                </c:pt>
                <c:pt idx="3">
                  <c:v>2024</c:v>
                </c:pt>
                <c:pt idx="4">
                  <c:v>2025</c:v>
                </c:pt>
              </c:numCache>
            </c:numRef>
          </c:cat>
          <c:val>
            <c:numRef>
              <c:f>'Exhibit A'!$H$58:$L$58</c:f>
              <c:numCache>
                <c:formatCode>0.0000000%</c:formatCode>
                <c:ptCount val="5"/>
                <c:pt idx="0">
                  <c:v>0.24999982264233128</c:v>
                </c:pt>
                <c:pt idx="1">
                  <c:v>0.24999973221391608</c:v>
                </c:pt>
                <c:pt idx="2">
                  <c:v>0.2499997985042568</c:v>
                </c:pt>
                <c:pt idx="3">
                  <c:v>0.25000008405014096</c:v>
                </c:pt>
                <c:pt idx="4">
                  <c:v>0.24999991905238184</c:v>
                </c:pt>
              </c:numCache>
            </c:numRef>
          </c:val>
          <c:extLst>
            <c:ext xmlns:c16="http://schemas.microsoft.com/office/drawing/2014/chart" uri="{C3380CC4-5D6E-409C-BE32-E72D297353CC}">
              <c16:uniqueId val="{00000000-3D12-4878-ACFF-6806F6515D79}"/>
            </c:ext>
          </c:extLst>
        </c:ser>
        <c:dLbls>
          <c:showLegendKey val="0"/>
          <c:showVal val="0"/>
          <c:showCatName val="0"/>
          <c:showSerName val="0"/>
          <c:showPercent val="0"/>
          <c:showBubbleSize val="0"/>
        </c:dLbls>
        <c:gapWidth val="219"/>
        <c:overlap val="-27"/>
        <c:axId val="1440085056"/>
        <c:axId val="1233203984"/>
      </c:barChart>
      <c:catAx>
        <c:axId val="144008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03984"/>
        <c:crosses val="autoZero"/>
        <c:auto val="1"/>
        <c:lblAlgn val="ctr"/>
        <c:lblOffset val="100"/>
        <c:noMultiLvlLbl val="0"/>
      </c:catAx>
      <c:valAx>
        <c:axId val="123320398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08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 Combined Ratio 2021-2025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A'!$H$56:$L$56</c:f>
              <c:numCache>
                <c:formatCode>General</c:formatCode>
                <c:ptCount val="5"/>
                <c:pt idx="0">
                  <c:v>2021</c:v>
                </c:pt>
                <c:pt idx="1">
                  <c:v>2022</c:v>
                </c:pt>
                <c:pt idx="2">
                  <c:v>2023</c:v>
                </c:pt>
                <c:pt idx="3">
                  <c:v>2024</c:v>
                </c:pt>
                <c:pt idx="4">
                  <c:v>2025</c:v>
                </c:pt>
              </c:numCache>
            </c:numRef>
          </c:cat>
          <c:val>
            <c:numRef>
              <c:f>'Exhibit A'!$H$59:$L$59</c:f>
              <c:numCache>
                <c:formatCode>0.0000000%</c:formatCode>
                <c:ptCount val="5"/>
                <c:pt idx="0">
                  <c:v>0.84101020090367262</c:v>
                </c:pt>
                <c:pt idx="1">
                  <c:v>0.84923215018300491</c:v>
                </c:pt>
                <c:pt idx="2">
                  <c:v>0.85829207372165062</c:v>
                </c:pt>
                <c:pt idx="3">
                  <c:v>0.85204653688204235</c:v>
                </c:pt>
                <c:pt idx="4">
                  <c:v>0.84266859041379438</c:v>
                </c:pt>
              </c:numCache>
            </c:numRef>
          </c:val>
          <c:extLst>
            <c:ext xmlns:c16="http://schemas.microsoft.com/office/drawing/2014/chart" uri="{C3380CC4-5D6E-409C-BE32-E72D297353CC}">
              <c16:uniqueId val="{00000000-BCE0-46C7-87D5-44E43F858B96}"/>
            </c:ext>
          </c:extLst>
        </c:ser>
        <c:dLbls>
          <c:showLegendKey val="0"/>
          <c:showVal val="0"/>
          <c:showCatName val="0"/>
          <c:showSerName val="0"/>
          <c:showPercent val="0"/>
          <c:showBubbleSize val="0"/>
        </c:dLbls>
        <c:gapWidth val="219"/>
        <c:overlap val="-27"/>
        <c:axId val="1440065568"/>
        <c:axId val="1233387344"/>
      </c:barChart>
      <c:catAx>
        <c:axId val="144006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87344"/>
        <c:crosses val="autoZero"/>
        <c:auto val="1"/>
        <c:lblAlgn val="ctr"/>
        <c:lblOffset val="100"/>
        <c:noMultiLvlLbl val="0"/>
      </c:catAx>
      <c:valAx>
        <c:axId val="123338734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065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 UP Ratio 2021-2025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'Exhibit A'!$H$56:$L$56</c:f>
              <c:numCache>
                <c:formatCode>General</c:formatCode>
                <c:ptCount val="5"/>
                <c:pt idx="0">
                  <c:v>2021</c:v>
                </c:pt>
                <c:pt idx="1">
                  <c:v>2022</c:v>
                </c:pt>
                <c:pt idx="2">
                  <c:v>2023</c:v>
                </c:pt>
                <c:pt idx="3">
                  <c:v>2024</c:v>
                </c:pt>
                <c:pt idx="4">
                  <c:v>2025</c:v>
                </c:pt>
              </c:numCache>
            </c:numRef>
          </c:cat>
          <c:val>
            <c:numRef>
              <c:f>'Exhibit A'!$H$63:$L$63</c:f>
              <c:numCache>
                <c:formatCode>0.0000000%</c:formatCode>
                <c:ptCount val="5"/>
                <c:pt idx="0">
                  <c:v>0.15898979909632738</c:v>
                </c:pt>
                <c:pt idx="1">
                  <c:v>0.15076784981699509</c:v>
                </c:pt>
                <c:pt idx="2">
                  <c:v>0.14170792627834938</c:v>
                </c:pt>
                <c:pt idx="3">
                  <c:v>0.14795346311795765</c:v>
                </c:pt>
                <c:pt idx="4">
                  <c:v>0.15733140958620562</c:v>
                </c:pt>
              </c:numCache>
            </c:numRef>
          </c:val>
          <c:extLst>
            <c:ext xmlns:c16="http://schemas.microsoft.com/office/drawing/2014/chart" uri="{C3380CC4-5D6E-409C-BE32-E72D297353CC}">
              <c16:uniqueId val="{00000000-E989-499E-AAC0-25AC899FE68F}"/>
            </c:ext>
          </c:extLst>
        </c:ser>
        <c:dLbls>
          <c:showLegendKey val="0"/>
          <c:showVal val="0"/>
          <c:showCatName val="0"/>
          <c:showSerName val="0"/>
          <c:showPercent val="0"/>
          <c:showBubbleSize val="0"/>
        </c:dLbls>
        <c:gapWidth val="219"/>
        <c:overlap val="-27"/>
        <c:axId val="1440055824"/>
        <c:axId val="1233147824"/>
      </c:barChart>
      <c:catAx>
        <c:axId val="144005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147824"/>
        <c:crosses val="autoZero"/>
        <c:auto val="1"/>
        <c:lblAlgn val="ctr"/>
        <c:lblOffset val="100"/>
        <c:noMultiLvlLbl val="0"/>
      </c:catAx>
      <c:valAx>
        <c:axId val="12331478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055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Ratios</a:t>
            </a:r>
            <a:r>
              <a:rPr lang="en-US" baseline="0"/>
              <a:t> Across Sectors, 2021-2025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'Exhibit A'!$A$73</c:f>
              <c:strCache>
                <c:ptCount val="1"/>
                <c:pt idx="0">
                  <c:v>Loss Ratio</c:v>
                </c:pt>
              </c:strCache>
            </c:strRef>
          </c:tx>
          <c:spPr>
            <a:solidFill>
              <a:schemeClr val="accent1"/>
            </a:solidFill>
            <a:ln>
              <a:noFill/>
            </a:ln>
            <a:effectLst/>
          </c:spPr>
          <c:invertIfNegative val="0"/>
          <c:cat>
            <c:strRef>
              <c:f>'Exhibit A'!$B$72:$F$72</c:f>
              <c:strCache>
                <c:ptCount val="5"/>
                <c:pt idx="0">
                  <c:v>E&amp;O</c:v>
                </c:pt>
                <c:pt idx="1">
                  <c:v>Cyber</c:v>
                </c:pt>
                <c:pt idx="2">
                  <c:v>Tech Products</c:v>
                </c:pt>
                <c:pt idx="3">
                  <c:v>CGL</c:v>
                </c:pt>
                <c:pt idx="4">
                  <c:v>CAL</c:v>
                </c:pt>
              </c:strCache>
            </c:strRef>
          </c:cat>
          <c:val>
            <c:numRef>
              <c:f>'Exhibit A'!$B$73:$F$73</c:f>
              <c:numCache>
                <c:formatCode>0.0000000%</c:formatCode>
                <c:ptCount val="5"/>
                <c:pt idx="0">
                  <c:v>0.61135952402455729</c:v>
                </c:pt>
                <c:pt idx="1">
                  <c:v>0.64856473299860729</c:v>
                </c:pt>
                <c:pt idx="2">
                  <c:v>0.61376709937841334</c:v>
                </c:pt>
                <c:pt idx="3">
                  <c:v>0.55136298358562108</c:v>
                </c:pt>
                <c:pt idx="4">
                  <c:v>0.59865003912822756</c:v>
                </c:pt>
              </c:numCache>
            </c:numRef>
          </c:val>
          <c:extLst>
            <c:ext xmlns:c16="http://schemas.microsoft.com/office/drawing/2014/chart" uri="{C3380CC4-5D6E-409C-BE32-E72D297353CC}">
              <c16:uniqueId val="{00000000-3857-40C5-9BCA-B46BF417741D}"/>
            </c:ext>
          </c:extLst>
        </c:ser>
        <c:ser>
          <c:idx val="1"/>
          <c:order val="1"/>
          <c:tx>
            <c:strRef>
              <c:f>'Exhibit A'!$A$74</c:f>
              <c:strCache>
                <c:ptCount val="1"/>
                <c:pt idx="0">
                  <c:v>Expense Ratio</c:v>
                </c:pt>
              </c:strCache>
            </c:strRef>
          </c:tx>
          <c:spPr>
            <a:solidFill>
              <a:schemeClr val="accent2"/>
            </a:solidFill>
            <a:ln>
              <a:noFill/>
            </a:ln>
            <a:effectLst/>
          </c:spPr>
          <c:invertIfNegative val="0"/>
          <c:cat>
            <c:strRef>
              <c:f>'Exhibit A'!$B$72:$F$72</c:f>
              <c:strCache>
                <c:ptCount val="5"/>
                <c:pt idx="0">
                  <c:v>E&amp;O</c:v>
                </c:pt>
                <c:pt idx="1">
                  <c:v>Cyber</c:v>
                </c:pt>
                <c:pt idx="2">
                  <c:v>Tech Products</c:v>
                </c:pt>
                <c:pt idx="3">
                  <c:v>CGL</c:v>
                </c:pt>
                <c:pt idx="4">
                  <c:v>CAL</c:v>
                </c:pt>
              </c:strCache>
            </c:strRef>
          </c:cat>
          <c:val>
            <c:numRef>
              <c:f>'Exhibit A'!$B$74:$F$74</c:f>
              <c:numCache>
                <c:formatCode>0.0000000%</c:formatCode>
                <c:ptCount val="5"/>
                <c:pt idx="0">
                  <c:v>0.24999976912952629</c:v>
                </c:pt>
                <c:pt idx="1">
                  <c:v>0.27999975026569379</c:v>
                </c:pt>
                <c:pt idx="2">
                  <c:v>0.24999986788090528</c:v>
                </c:pt>
                <c:pt idx="3">
                  <c:v>0.21999998074894284</c:v>
                </c:pt>
                <c:pt idx="4">
                  <c:v>0.2499998712926054</c:v>
                </c:pt>
              </c:numCache>
            </c:numRef>
          </c:val>
          <c:extLst>
            <c:ext xmlns:c16="http://schemas.microsoft.com/office/drawing/2014/chart" uri="{C3380CC4-5D6E-409C-BE32-E72D297353CC}">
              <c16:uniqueId val="{00000001-3857-40C5-9BCA-B46BF417741D}"/>
            </c:ext>
          </c:extLst>
        </c:ser>
        <c:ser>
          <c:idx val="2"/>
          <c:order val="2"/>
          <c:tx>
            <c:strRef>
              <c:f>'Exhibit A'!$A$75</c:f>
              <c:strCache>
                <c:ptCount val="1"/>
                <c:pt idx="0">
                  <c:v>Combined Ratio</c:v>
                </c:pt>
              </c:strCache>
            </c:strRef>
          </c:tx>
          <c:spPr>
            <a:solidFill>
              <a:schemeClr val="accent3"/>
            </a:solidFill>
            <a:ln>
              <a:noFill/>
            </a:ln>
            <a:effectLst/>
          </c:spPr>
          <c:invertIfNegative val="0"/>
          <c:cat>
            <c:strRef>
              <c:f>'Exhibit A'!$B$72:$F$72</c:f>
              <c:strCache>
                <c:ptCount val="5"/>
                <c:pt idx="0">
                  <c:v>E&amp;O</c:v>
                </c:pt>
                <c:pt idx="1">
                  <c:v>Cyber</c:v>
                </c:pt>
                <c:pt idx="2">
                  <c:v>Tech Products</c:v>
                </c:pt>
                <c:pt idx="3">
                  <c:v>CGL</c:v>
                </c:pt>
                <c:pt idx="4">
                  <c:v>CAL</c:v>
                </c:pt>
              </c:strCache>
            </c:strRef>
          </c:cat>
          <c:val>
            <c:numRef>
              <c:f>'Exhibit A'!$B$75:$F$75</c:f>
              <c:numCache>
                <c:formatCode>0.0000000%</c:formatCode>
                <c:ptCount val="5"/>
                <c:pt idx="0">
                  <c:v>0.86135929315408366</c:v>
                </c:pt>
                <c:pt idx="1">
                  <c:v>0.92856448326430097</c:v>
                </c:pt>
                <c:pt idx="2">
                  <c:v>0.86376696725931856</c:v>
                </c:pt>
                <c:pt idx="3">
                  <c:v>0.77136296433456386</c:v>
                </c:pt>
                <c:pt idx="4">
                  <c:v>0.84864991042083293</c:v>
                </c:pt>
              </c:numCache>
            </c:numRef>
          </c:val>
          <c:extLst>
            <c:ext xmlns:c16="http://schemas.microsoft.com/office/drawing/2014/chart" uri="{C3380CC4-5D6E-409C-BE32-E72D297353CC}">
              <c16:uniqueId val="{00000002-3857-40C5-9BCA-B46BF417741D}"/>
            </c:ext>
          </c:extLst>
        </c:ser>
        <c:ser>
          <c:idx val="3"/>
          <c:order val="3"/>
          <c:tx>
            <c:strRef>
              <c:f>'Exhibit A'!$A$76</c:f>
              <c:strCache>
                <c:ptCount val="1"/>
                <c:pt idx="0">
                  <c:v>Undewriting Profit Ratio</c:v>
                </c:pt>
              </c:strCache>
            </c:strRef>
          </c:tx>
          <c:spPr>
            <a:solidFill>
              <a:schemeClr val="accent4"/>
            </a:solidFill>
            <a:ln>
              <a:noFill/>
            </a:ln>
            <a:effectLst/>
          </c:spPr>
          <c:invertIfNegative val="0"/>
          <c:cat>
            <c:strRef>
              <c:f>'Exhibit A'!$B$72:$F$72</c:f>
              <c:strCache>
                <c:ptCount val="5"/>
                <c:pt idx="0">
                  <c:v>E&amp;O</c:v>
                </c:pt>
                <c:pt idx="1">
                  <c:v>Cyber</c:v>
                </c:pt>
                <c:pt idx="2">
                  <c:v>Tech Products</c:v>
                </c:pt>
                <c:pt idx="3">
                  <c:v>CGL</c:v>
                </c:pt>
                <c:pt idx="4">
                  <c:v>CAL</c:v>
                </c:pt>
              </c:strCache>
            </c:strRef>
          </c:cat>
          <c:val>
            <c:numRef>
              <c:f>'Exhibit A'!$B$76:$F$76</c:f>
              <c:numCache>
                <c:formatCode>0.0000000%</c:formatCode>
                <c:ptCount val="5"/>
                <c:pt idx="0">
                  <c:v>0.13864070684591634</c:v>
                </c:pt>
                <c:pt idx="1">
                  <c:v>7.1435516735699034E-2</c:v>
                </c:pt>
                <c:pt idx="2">
                  <c:v>0.13623303274068144</c:v>
                </c:pt>
                <c:pt idx="3">
                  <c:v>0.22863703566543614</c:v>
                </c:pt>
                <c:pt idx="4">
                  <c:v>0.15135008957916707</c:v>
                </c:pt>
              </c:numCache>
            </c:numRef>
          </c:val>
          <c:extLst>
            <c:ext xmlns:c16="http://schemas.microsoft.com/office/drawing/2014/chart" uri="{C3380CC4-5D6E-409C-BE32-E72D297353CC}">
              <c16:uniqueId val="{00000003-3857-40C5-9BCA-B46BF417741D}"/>
            </c:ext>
          </c:extLst>
        </c:ser>
        <c:dLbls>
          <c:showLegendKey val="0"/>
          <c:showVal val="0"/>
          <c:showCatName val="0"/>
          <c:showSerName val="0"/>
          <c:showPercent val="0"/>
          <c:showBubbleSize val="0"/>
        </c:dLbls>
        <c:gapWidth val="219"/>
        <c:overlap val="-27"/>
        <c:axId val="1433754128"/>
        <c:axId val="1233362864"/>
      </c:barChart>
      <c:catAx>
        <c:axId val="143375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62864"/>
        <c:crosses val="autoZero"/>
        <c:auto val="1"/>
        <c:lblAlgn val="ctr"/>
        <c:lblOffset val="100"/>
        <c:noMultiLvlLbl val="0"/>
      </c:catAx>
      <c:valAx>
        <c:axId val="1233362864"/>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754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 Frequency Average across sectors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'Exhibit A'!$A$87:$A$91</c:f>
              <c:strCache>
                <c:ptCount val="5"/>
                <c:pt idx="0">
                  <c:v>E&amp;O</c:v>
                </c:pt>
                <c:pt idx="1">
                  <c:v>Cyber</c:v>
                </c:pt>
                <c:pt idx="2">
                  <c:v>Tech Products</c:v>
                </c:pt>
                <c:pt idx="3">
                  <c:v>CGL</c:v>
                </c:pt>
                <c:pt idx="4">
                  <c:v>CAL</c:v>
                </c:pt>
              </c:strCache>
            </c:strRef>
          </c:cat>
          <c:val>
            <c:numRef>
              <c:f>'Exhibit A'!$B$80:$B$84</c:f>
              <c:numCache>
                <c:formatCode>0.00%</c:formatCode>
                <c:ptCount val="5"/>
                <c:pt idx="0">
                  <c:v>0.11913713088152773</c:v>
                </c:pt>
                <c:pt idx="1">
                  <c:v>0.14008925894908508</c:v>
                </c:pt>
                <c:pt idx="2">
                  <c:v>0.17117174883414249</c:v>
                </c:pt>
                <c:pt idx="3">
                  <c:v>0.12030801173449579</c:v>
                </c:pt>
                <c:pt idx="4">
                  <c:v>0.12482437736481185</c:v>
                </c:pt>
              </c:numCache>
            </c:numRef>
          </c:val>
          <c:extLst>
            <c:ext xmlns:c16="http://schemas.microsoft.com/office/drawing/2014/chart" uri="{C3380CC4-5D6E-409C-BE32-E72D297353CC}">
              <c16:uniqueId val="{00000000-89AF-4A63-A9AD-6145D8E35ADE}"/>
            </c:ext>
          </c:extLst>
        </c:ser>
        <c:dLbls>
          <c:showLegendKey val="0"/>
          <c:showVal val="0"/>
          <c:showCatName val="0"/>
          <c:showSerName val="0"/>
          <c:showPercent val="0"/>
          <c:showBubbleSize val="0"/>
        </c:dLbls>
        <c:gapWidth val="219"/>
        <c:overlap val="-27"/>
        <c:axId val="1351596976"/>
        <c:axId val="1233155504"/>
      </c:barChart>
      <c:catAx>
        <c:axId val="135159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155504"/>
        <c:crosses val="autoZero"/>
        <c:auto val="1"/>
        <c:lblAlgn val="ctr"/>
        <c:lblOffset val="100"/>
        <c:noMultiLvlLbl val="0"/>
      </c:catAx>
      <c:valAx>
        <c:axId val="12331555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96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Severity across sectors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'Exhibit A'!$B$86</c:f>
              <c:strCache>
                <c:ptCount val="1"/>
                <c:pt idx="0">
                  <c:v>Average Severity</c:v>
                </c:pt>
              </c:strCache>
            </c:strRef>
          </c:tx>
          <c:spPr>
            <a:solidFill>
              <a:schemeClr val="accent1"/>
            </a:solidFill>
            <a:ln>
              <a:noFill/>
            </a:ln>
            <a:effectLst/>
          </c:spPr>
          <c:invertIfNegative val="0"/>
          <c:cat>
            <c:strRef>
              <c:f>'Exhibit A'!$A$87:$A$91</c:f>
              <c:strCache>
                <c:ptCount val="5"/>
                <c:pt idx="0">
                  <c:v>E&amp;O</c:v>
                </c:pt>
                <c:pt idx="1">
                  <c:v>Cyber</c:v>
                </c:pt>
                <c:pt idx="2">
                  <c:v>Tech Products</c:v>
                </c:pt>
                <c:pt idx="3">
                  <c:v>CGL</c:v>
                </c:pt>
                <c:pt idx="4">
                  <c:v>CAL</c:v>
                </c:pt>
              </c:strCache>
            </c:strRef>
          </c:cat>
          <c:val>
            <c:numRef>
              <c:f>'Exhibit A'!$B$87:$B$91</c:f>
              <c:numCache>
                <c:formatCode>_("$"* #,##0.00_);_("$"* \(#,##0.00\);_("$"* "-"??_);_(@_)</c:formatCode>
                <c:ptCount val="5"/>
                <c:pt idx="0">
                  <c:v>96.75536645162201</c:v>
                </c:pt>
                <c:pt idx="1">
                  <c:v>218.19537543384735</c:v>
                </c:pt>
                <c:pt idx="2">
                  <c:v>212.0093130637928</c:v>
                </c:pt>
                <c:pt idx="3">
                  <c:v>78.620201468793937</c:v>
                </c:pt>
                <c:pt idx="4">
                  <c:v>106.32623100359415</c:v>
                </c:pt>
              </c:numCache>
            </c:numRef>
          </c:val>
          <c:extLst>
            <c:ext xmlns:c16="http://schemas.microsoft.com/office/drawing/2014/chart" uri="{C3380CC4-5D6E-409C-BE32-E72D297353CC}">
              <c16:uniqueId val="{00000000-A1F0-4888-8682-346A28606F39}"/>
            </c:ext>
          </c:extLst>
        </c:ser>
        <c:dLbls>
          <c:showLegendKey val="0"/>
          <c:showVal val="0"/>
          <c:showCatName val="0"/>
          <c:showSerName val="0"/>
          <c:showPercent val="0"/>
          <c:showBubbleSize val="0"/>
        </c:dLbls>
        <c:gapWidth val="219"/>
        <c:overlap val="-27"/>
        <c:axId val="1433786144"/>
        <c:axId val="1233231344"/>
      </c:barChart>
      <c:catAx>
        <c:axId val="143378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31344"/>
        <c:crosses val="autoZero"/>
        <c:auto val="1"/>
        <c:lblAlgn val="ctr"/>
        <c:lblOffset val="100"/>
        <c:noMultiLvlLbl val="0"/>
      </c:catAx>
      <c:valAx>
        <c:axId val="12332313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786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13</xdr:col>
      <xdr:colOff>213360</xdr:colOff>
      <xdr:row>1</xdr:row>
      <xdr:rowOff>26670</xdr:rowOff>
    </xdr:from>
    <xdr:to>
      <xdr:col>17</xdr:col>
      <xdr:colOff>396240</xdr:colOff>
      <xdr:row>15</xdr:row>
      <xdr:rowOff>83820</xdr:rowOff>
    </xdr:to>
    <xdr:graphicFrame macro="">
      <xdr:nvGraphicFramePr>
        <xdr:cNvPr id="2" name="Chart 1">
          <a:extLst>
            <a:ext uri="{FF2B5EF4-FFF2-40B4-BE49-F238E27FC236}">
              <a16:creationId xmlns:a16="http://schemas.microsoft.com/office/drawing/2014/main" id="{B3B2A417-893A-D000-E974-5EA4BE7BF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464820</xdr:colOff>
      <xdr:row>1</xdr:row>
      <xdr:rowOff>11430</xdr:rowOff>
    </xdr:from>
    <xdr:to>
      <xdr:col>21</xdr:col>
      <xdr:colOff>815340</xdr:colOff>
      <xdr:row>15</xdr:row>
      <xdr:rowOff>83820</xdr:rowOff>
    </xdr:to>
    <xdr:graphicFrame macro="">
      <xdr:nvGraphicFramePr>
        <xdr:cNvPr id="3" name="Chart 2">
          <a:extLst>
            <a:ext uri="{FF2B5EF4-FFF2-40B4-BE49-F238E27FC236}">
              <a16:creationId xmlns:a16="http://schemas.microsoft.com/office/drawing/2014/main" id="{DCA9C408-5B18-C263-EE86-7FBA91450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15240</xdr:colOff>
      <xdr:row>1</xdr:row>
      <xdr:rowOff>7620</xdr:rowOff>
    </xdr:from>
    <xdr:to>
      <xdr:col>26</xdr:col>
      <xdr:colOff>777240</xdr:colOff>
      <xdr:row>15</xdr:row>
      <xdr:rowOff>152400</xdr:rowOff>
    </xdr:to>
    <xdr:graphicFrame macro="">
      <xdr:nvGraphicFramePr>
        <xdr:cNvPr id="5" name="Chart 4">
          <a:extLst>
            <a:ext uri="{FF2B5EF4-FFF2-40B4-BE49-F238E27FC236}">
              <a16:creationId xmlns:a16="http://schemas.microsoft.com/office/drawing/2014/main" id="{03D38344-57F4-4858-8364-5974C3C8D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228600</xdr:colOff>
      <xdr:row>15</xdr:row>
      <xdr:rowOff>133350</xdr:rowOff>
    </xdr:from>
    <xdr:to>
      <xdr:col>17</xdr:col>
      <xdr:colOff>563880</xdr:colOff>
      <xdr:row>30</xdr:row>
      <xdr:rowOff>0</xdr:rowOff>
    </xdr:to>
    <xdr:graphicFrame macro="">
      <xdr:nvGraphicFramePr>
        <xdr:cNvPr id="6" name="Chart 5">
          <a:extLst>
            <a:ext uri="{FF2B5EF4-FFF2-40B4-BE49-F238E27FC236}">
              <a16:creationId xmlns:a16="http://schemas.microsoft.com/office/drawing/2014/main" id="{52D94FCC-0270-7487-69F0-F96F04056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617220</xdr:colOff>
      <xdr:row>15</xdr:row>
      <xdr:rowOff>144780</xdr:rowOff>
    </xdr:from>
    <xdr:to>
      <xdr:col>22</xdr:col>
      <xdr:colOff>533400</xdr:colOff>
      <xdr:row>31</xdr:row>
      <xdr:rowOff>114300</xdr:rowOff>
    </xdr:to>
    <xdr:graphicFrame macro="">
      <xdr:nvGraphicFramePr>
        <xdr:cNvPr id="8" name="Chart 7">
          <a:extLst>
            <a:ext uri="{FF2B5EF4-FFF2-40B4-BE49-F238E27FC236}">
              <a16:creationId xmlns:a16="http://schemas.microsoft.com/office/drawing/2014/main" id="{0B2C93BB-2F51-4700-A7F2-3DC97F180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0</xdr:colOff>
      <xdr:row>16</xdr:row>
      <xdr:rowOff>0</xdr:rowOff>
    </xdr:from>
    <xdr:to>
      <xdr:col>28</xdr:col>
      <xdr:colOff>228600</xdr:colOff>
      <xdr:row>32</xdr:row>
      <xdr:rowOff>144780</xdr:rowOff>
    </xdr:to>
    <xdr:graphicFrame macro="">
      <xdr:nvGraphicFramePr>
        <xdr:cNvPr id="10" name="Chart 9">
          <a:extLst>
            <a:ext uri="{FF2B5EF4-FFF2-40B4-BE49-F238E27FC236}">
              <a16:creationId xmlns:a16="http://schemas.microsoft.com/office/drawing/2014/main" id="{DA0945D3-CDEF-4E7F-A62E-CA9321385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861060</xdr:colOff>
      <xdr:row>0</xdr:row>
      <xdr:rowOff>129540</xdr:rowOff>
    </xdr:from>
    <xdr:to>
      <xdr:col>31</xdr:col>
      <xdr:colOff>739140</xdr:colOff>
      <xdr:row>15</xdr:row>
      <xdr:rowOff>205740</xdr:rowOff>
    </xdr:to>
    <xdr:graphicFrame macro="">
      <xdr:nvGraphicFramePr>
        <xdr:cNvPr id="12" name="Chart 11">
          <a:extLst>
            <a:ext uri="{FF2B5EF4-FFF2-40B4-BE49-F238E27FC236}">
              <a16:creationId xmlns:a16="http://schemas.microsoft.com/office/drawing/2014/main" id="{15D3CE93-8966-4D05-8AC2-D3B9D4A4D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342900</xdr:colOff>
      <xdr:row>16</xdr:row>
      <xdr:rowOff>53340</xdr:rowOff>
    </xdr:from>
    <xdr:to>
      <xdr:col>33</xdr:col>
      <xdr:colOff>571500</xdr:colOff>
      <xdr:row>33</xdr:row>
      <xdr:rowOff>0</xdr:rowOff>
    </xdr:to>
    <xdr:graphicFrame macro="">
      <xdr:nvGraphicFramePr>
        <xdr:cNvPr id="14" name="Chart 13">
          <a:extLst>
            <a:ext uri="{FF2B5EF4-FFF2-40B4-BE49-F238E27FC236}">
              <a16:creationId xmlns:a16="http://schemas.microsoft.com/office/drawing/2014/main" id="{03CD70B1-563B-493E-9F43-B317A3CB0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129540</xdr:colOff>
      <xdr:row>30</xdr:row>
      <xdr:rowOff>167640</xdr:rowOff>
    </xdr:from>
    <xdr:to>
      <xdr:col>18</xdr:col>
      <xdr:colOff>358140</xdr:colOff>
      <xdr:row>47</xdr:row>
      <xdr:rowOff>114300</xdr:rowOff>
    </xdr:to>
    <xdr:graphicFrame macro="">
      <xdr:nvGraphicFramePr>
        <xdr:cNvPr id="16" name="Chart 15">
          <a:extLst>
            <a:ext uri="{FF2B5EF4-FFF2-40B4-BE49-F238E27FC236}">
              <a16:creationId xmlns:a16="http://schemas.microsoft.com/office/drawing/2014/main" id="{1734D9B3-EF3D-44A7-BB35-F4FD836B0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0</xdr:colOff>
      <xdr:row>32</xdr:row>
      <xdr:rowOff>0</xdr:rowOff>
    </xdr:from>
    <xdr:to>
      <xdr:col>24</xdr:col>
      <xdr:colOff>228600</xdr:colOff>
      <xdr:row>48</xdr:row>
      <xdr:rowOff>144780</xdr:rowOff>
    </xdr:to>
    <xdr:graphicFrame macro="">
      <xdr:nvGraphicFramePr>
        <xdr:cNvPr id="19" name="Chart 18">
          <a:extLst>
            <a:ext uri="{FF2B5EF4-FFF2-40B4-BE49-F238E27FC236}">
              <a16:creationId xmlns:a16="http://schemas.microsoft.com/office/drawing/2014/main" id="{46463C84-6887-40E9-A7B9-85C3962FB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281940</xdr:colOff>
      <xdr:row>32</xdr:row>
      <xdr:rowOff>114300</xdr:rowOff>
    </xdr:from>
    <xdr:to>
      <xdr:col>29</xdr:col>
      <xdr:colOff>510540</xdr:colOff>
      <xdr:row>49</xdr:row>
      <xdr:rowOff>60960</xdr:rowOff>
    </xdr:to>
    <xdr:graphicFrame macro="">
      <xdr:nvGraphicFramePr>
        <xdr:cNvPr id="21" name="Chart 20">
          <a:extLst>
            <a:ext uri="{FF2B5EF4-FFF2-40B4-BE49-F238E27FC236}">
              <a16:creationId xmlns:a16="http://schemas.microsoft.com/office/drawing/2014/main" id="{D990CC4C-5E79-4D33-B850-2ED649556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579120</xdr:colOff>
      <xdr:row>32</xdr:row>
      <xdr:rowOff>137160</xdr:rowOff>
    </xdr:from>
    <xdr:to>
      <xdr:col>34</xdr:col>
      <xdr:colOff>807720</xdr:colOff>
      <xdr:row>49</xdr:row>
      <xdr:rowOff>83820</xdr:rowOff>
    </xdr:to>
    <xdr:graphicFrame macro="">
      <xdr:nvGraphicFramePr>
        <xdr:cNvPr id="23" name="Chart 22">
          <a:extLst>
            <a:ext uri="{FF2B5EF4-FFF2-40B4-BE49-F238E27FC236}">
              <a16:creationId xmlns:a16="http://schemas.microsoft.com/office/drawing/2014/main" id="{242294D0-1C31-4566-8930-DAAEF81E6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0</xdr:colOff>
      <xdr:row>48</xdr:row>
      <xdr:rowOff>0</xdr:rowOff>
    </xdr:from>
    <xdr:to>
      <xdr:col>18</xdr:col>
      <xdr:colOff>228600</xdr:colOff>
      <xdr:row>64</xdr:row>
      <xdr:rowOff>144780</xdr:rowOff>
    </xdr:to>
    <xdr:graphicFrame macro="">
      <xdr:nvGraphicFramePr>
        <xdr:cNvPr id="25" name="Chart 24">
          <a:extLst>
            <a:ext uri="{FF2B5EF4-FFF2-40B4-BE49-F238E27FC236}">
              <a16:creationId xmlns:a16="http://schemas.microsoft.com/office/drawing/2014/main" id="{4A402BDA-BB5E-4E66-819A-45B591C63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0</xdr:colOff>
      <xdr:row>49</xdr:row>
      <xdr:rowOff>0</xdr:rowOff>
    </xdr:from>
    <xdr:to>
      <xdr:col>24</xdr:col>
      <xdr:colOff>228600</xdr:colOff>
      <xdr:row>65</xdr:row>
      <xdr:rowOff>144780</xdr:rowOff>
    </xdr:to>
    <xdr:graphicFrame macro="">
      <xdr:nvGraphicFramePr>
        <xdr:cNvPr id="27" name="Chart 26">
          <a:extLst>
            <a:ext uri="{FF2B5EF4-FFF2-40B4-BE49-F238E27FC236}">
              <a16:creationId xmlns:a16="http://schemas.microsoft.com/office/drawing/2014/main" id="{58C44468-0A7A-49F7-AE4B-EC8C0499D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335280</xdr:colOff>
      <xdr:row>49</xdr:row>
      <xdr:rowOff>106680</xdr:rowOff>
    </xdr:from>
    <xdr:to>
      <xdr:col>29</xdr:col>
      <xdr:colOff>563880</xdr:colOff>
      <xdr:row>66</xdr:row>
      <xdr:rowOff>53340</xdr:rowOff>
    </xdr:to>
    <xdr:graphicFrame macro="">
      <xdr:nvGraphicFramePr>
        <xdr:cNvPr id="29" name="Chart 28">
          <a:extLst>
            <a:ext uri="{FF2B5EF4-FFF2-40B4-BE49-F238E27FC236}">
              <a16:creationId xmlns:a16="http://schemas.microsoft.com/office/drawing/2014/main" id="{49E24640-C4FF-45C4-AB82-93721ED98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617220</xdr:colOff>
      <xdr:row>49</xdr:row>
      <xdr:rowOff>99060</xdr:rowOff>
    </xdr:from>
    <xdr:to>
      <xdr:col>34</xdr:col>
      <xdr:colOff>845820</xdr:colOff>
      <xdr:row>66</xdr:row>
      <xdr:rowOff>45720</xdr:rowOff>
    </xdr:to>
    <xdr:graphicFrame macro="">
      <xdr:nvGraphicFramePr>
        <xdr:cNvPr id="31" name="Chart 30">
          <a:extLst>
            <a:ext uri="{FF2B5EF4-FFF2-40B4-BE49-F238E27FC236}">
              <a16:creationId xmlns:a16="http://schemas.microsoft.com/office/drawing/2014/main" id="{1F2E6463-CB32-4931-9F91-4C88E7578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0</xdr:colOff>
      <xdr:row>66</xdr:row>
      <xdr:rowOff>0</xdr:rowOff>
    </xdr:from>
    <xdr:to>
      <xdr:col>18</xdr:col>
      <xdr:colOff>228600</xdr:colOff>
      <xdr:row>79</xdr:row>
      <xdr:rowOff>167640</xdr:rowOff>
    </xdr:to>
    <xdr:graphicFrame macro="">
      <xdr:nvGraphicFramePr>
        <xdr:cNvPr id="33" name="Chart 32">
          <a:extLst>
            <a:ext uri="{FF2B5EF4-FFF2-40B4-BE49-F238E27FC236}">
              <a16:creationId xmlns:a16="http://schemas.microsoft.com/office/drawing/2014/main" id="{0522EFEA-2252-4775-B79D-0614614B6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297180</xdr:colOff>
      <xdr:row>66</xdr:row>
      <xdr:rowOff>7620</xdr:rowOff>
    </xdr:from>
    <xdr:to>
      <xdr:col>23</xdr:col>
      <xdr:colOff>525780</xdr:colOff>
      <xdr:row>79</xdr:row>
      <xdr:rowOff>175260</xdr:rowOff>
    </xdr:to>
    <xdr:graphicFrame macro="">
      <xdr:nvGraphicFramePr>
        <xdr:cNvPr id="35" name="Chart 34">
          <a:extLst>
            <a:ext uri="{FF2B5EF4-FFF2-40B4-BE49-F238E27FC236}">
              <a16:creationId xmlns:a16="http://schemas.microsoft.com/office/drawing/2014/main" id="{3CEB2FBD-A01C-4D30-BF69-B8DF31A67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24</xdr:col>
      <xdr:colOff>0</xdr:colOff>
      <xdr:row>67</xdr:row>
      <xdr:rowOff>0</xdr:rowOff>
    </xdr:from>
    <xdr:to>
      <xdr:col>29</xdr:col>
      <xdr:colOff>228600</xdr:colOff>
      <xdr:row>80</xdr:row>
      <xdr:rowOff>167640</xdr:rowOff>
    </xdr:to>
    <xdr:graphicFrame macro="">
      <xdr:nvGraphicFramePr>
        <xdr:cNvPr id="37" name="Chart 36">
          <a:extLst>
            <a:ext uri="{FF2B5EF4-FFF2-40B4-BE49-F238E27FC236}">
              <a16:creationId xmlns:a16="http://schemas.microsoft.com/office/drawing/2014/main" id="{9E925F7D-BE43-4702-A7E0-73A339702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350520</xdr:colOff>
      <xdr:row>66</xdr:row>
      <xdr:rowOff>182880</xdr:rowOff>
    </xdr:from>
    <xdr:to>
      <xdr:col>34</xdr:col>
      <xdr:colOff>579120</xdr:colOff>
      <xdr:row>80</xdr:row>
      <xdr:rowOff>152400</xdr:rowOff>
    </xdr:to>
    <xdr:graphicFrame macro="">
      <xdr:nvGraphicFramePr>
        <xdr:cNvPr id="39" name="Chart 38">
          <a:extLst>
            <a:ext uri="{FF2B5EF4-FFF2-40B4-BE49-F238E27FC236}">
              <a16:creationId xmlns:a16="http://schemas.microsoft.com/office/drawing/2014/main" id="{5EC392F5-8886-4FDB-88B5-20EFE0A66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152400</xdr:colOff>
      <xdr:row>71</xdr:row>
      <xdr:rowOff>11430</xdr:rowOff>
    </xdr:from>
    <xdr:to>
      <xdr:col>10</xdr:col>
      <xdr:colOff>541020</xdr:colOff>
      <xdr:row>84</xdr:row>
      <xdr:rowOff>179070</xdr:rowOff>
    </xdr:to>
    <xdr:graphicFrame macro="">
      <xdr:nvGraphicFramePr>
        <xdr:cNvPr id="40" name="Chart 39">
          <a:extLst>
            <a:ext uri="{FF2B5EF4-FFF2-40B4-BE49-F238E27FC236}">
              <a16:creationId xmlns:a16="http://schemas.microsoft.com/office/drawing/2014/main" id="{6CCEB0B6-FE30-9E37-FB8A-BA43C4206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xdr:col>
      <xdr:colOff>144780</xdr:colOff>
      <xdr:row>85</xdr:row>
      <xdr:rowOff>41910</xdr:rowOff>
    </xdr:from>
    <xdr:to>
      <xdr:col>10</xdr:col>
      <xdr:colOff>533400</xdr:colOff>
      <xdr:row>99</xdr:row>
      <xdr:rowOff>11430</xdr:rowOff>
    </xdr:to>
    <xdr:graphicFrame macro="">
      <xdr:nvGraphicFramePr>
        <xdr:cNvPr id="46" name="Chart 45">
          <a:extLst>
            <a:ext uri="{FF2B5EF4-FFF2-40B4-BE49-F238E27FC236}">
              <a16:creationId xmlns:a16="http://schemas.microsoft.com/office/drawing/2014/main" id="{45650816-5515-1612-46C9-4A38EDF79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0</xdr:colOff>
      <xdr:row>100</xdr:row>
      <xdr:rowOff>0</xdr:rowOff>
    </xdr:from>
    <xdr:to>
      <xdr:col>10</xdr:col>
      <xdr:colOff>373380</xdr:colOff>
      <xdr:row>113</xdr:row>
      <xdr:rowOff>167640</xdr:rowOff>
    </xdr:to>
    <xdr:graphicFrame macro="">
      <xdr:nvGraphicFramePr>
        <xdr:cNvPr id="48" name="Chart 47">
          <a:extLst>
            <a:ext uri="{FF2B5EF4-FFF2-40B4-BE49-F238E27FC236}">
              <a16:creationId xmlns:a16="http://schemas.microsoft.com/office/drawing/2014/main" id="{19289AAD-19DF-4291-976B-09BD3F8DC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 Kashyap" refreshedDate="46243.611468981479" createdVersion="8" refreshedVersion="8" minRefreshableVersion="3" recordCount="135" xr:uid="{695193F4-ED05-4CF1-A525-C1491AC41183}">
  <cacheSource type="worksheet">
    <worksheetSource ref="A2:G137" sheet="Exhibit B"/>
  </cacheSource>
  <cacheFields count="7">
    <cacheField name="ID" numFmtId="0">
      <sharedItems/>
    </cacheField>
    <cacheField name="Title/Description" numFmtId="0">
      <sharedItems count="135">
        <s v="Mortgage-approval AI denied applications in racialized neighborhoods at higher rate"/>
        <s v="AI scribe invented patient symptoms in discharge summary"/>
        <s v="Pharmacy AI assistant transmitted prescription data to unauthorized third party"/>
        <s v="Clinical chatbot logged sensitive intake notes to public training dataset"/>
        <s v="Product recommendation AI fabricated specifications for listed items"/>
        <s v="Credit-scoring AI used postal code as proxy for race, regulator fined lender"/>
        <s v="AI-generated phishing breached client portal of regional bank"/>
        <s v="AI copywriter produced misleading comparative advertising, regulator fined firm"/>
        <s v="AI press release hallucinated executive quotes"/>
        <s v="AI image generator created racially stereotyped campaign visuals"/>
        <s v="Diagnostic AI vendor breach leaked imaging data of 75,000 patients"/>
        <s v="EHR-integrated AI exposed mental health notes through prompt injection attack"/>
        <s v="Self-healing AI escalated outage by restarting healthy nodes"/>
        <s v="AI-generated platform notification spread false outage information"/>
        <s v="Paralegal AI assistant fabricated quotes from real Supreme Court rulings"/>
        <s v="AI-generated malware bypassed endpoint detection at SaaS provider"/>
        <s v="Skills-matching AI excluded candidates with disability accommodations"/>
        <s v="Law firm's AI intake bot leaked client conflict-check data"/>
        <s v="Robotic surgery assistant deviated from planned trajectory, patient injury"/>
        <s v="AI code review tool approved security-vulnerable pull request"/>
        <s v="Deepfake voice attack targeted marketing/advertising company executive"/>
        <s v="Recommendation AI exposed purchase histories of 120 customers"/>
        <s v="Ad targeting AI exposed user behavioral data through model inversion attack"/>
        <s v="Content moderation AI disproportionately flagged minority-language posts"/>
        <s v="AI-generated job description listed nonexistent legal requirements"/>
        <s v="Trademark search AI invented prior art that did not exist"/>
        <s v="Voice-cloned celebrity ad ran without consent, lawsuit filed"/>
        <s v="AI-generated ad campaign used fabricated customer testimonials"/>
        <s v="Cloud-based AI legal tool exposed confidential M&amp;A documents"/>
        <s v="Immigration AI tool cited fake precedents in federal court filing"/>
        <s v="Robo-advisor AI logged client SIN numbers to third-party LLM provider"/>
        <s v="AI voice clone defeated bank's biometric authentication"/>
        <s v="AI image tool produced culturally insensitive holiday campaign imagery"/>
        <s v="Voice analysis AI in interviews discriminated against accented speakers"/>
        <s v="Autonomous deployment AI rolled out broken update to 2,400 production servers"/>
        <s v="ML pipeline misconfiguration exposed customer training data"/>
        <s v="Autonomous AI system executed unintended actions causing major incident"/>
        <s v="AI-driven account takeover bypassed retailer's fraud detection"/>
        <s v="Generative AI campaign fabricated award and certification claims"/>
        <s v="AI vendor breach leaked source code repositories of 2,400 enterprise clients"/>
        <s v="AI-generated fake reviews fueled fraud ring on marketplace platform"/>
        <s v="Talent-matching AI downranked applicants who disclosed medical leave history"/>
        <s v="Dynamic pricing AI charged higher prices to customers in low-income postal codes"/>
        <s v="AI legal research tool invented nonexistent statute in client memo"/>
        <s v="AI-crafted spear phishing breached law firm client trust account"/>
        <s v="Resume-screening AI filtered out candidates with non-English names"/>
        <s v="Deepfake political ad attributed false statements to public official"/>
        <s v="Autonomous content moderation AI banned 580 legitimate accounts in cascade"/>
        <s v="Clinical decision support AI fabricated drug interaction warning"/>
        <s v="Autonomous content moderation AI banned 340 legitimate accounts in cascade"/>
        <s v="Legal marketing AI published inaccurate compliance summary"/>
        <s v="Chatbot logged credit card numbers to vendor training dataset"/>
        <s v="Insurance pricing AI charged higher premiums to immigrant policyholders"/>
        <s v="Law firm filed brief citing 150,000 fictitious case citations from ChatGPT"/>
        <s v="Deepfake voice scam impersonated customer service to drain accounts"/>
        <s v="AI recruiting tool published job posting citing fabricated certification requirements"/>
        <s v="Marketing AI vendor leaked customer email lists in training data"/>
        <s v="Recruiting AI vendor breach exposed 28,000 applicant resumes"/>
        <s v="SaaS AI feature exposed 28,000 customer documents via shared model context"/>
        <s v="Autonomous deployment AI rolled out broken update to 340 production servers"/>
        <s v="Home-equity loan AI applied stricter terms in predominantly minority postal codes"/>
        <s v="AI bot network hijacked customer loyalty accounts at online marketplace"/>
        <s v="Customer service chatbot invented refund policy, retailer honored 580 claims"/>
        <s v="AI-driven ventilator weaning system caused respiratory distress event"/>
        <s v="AI meeting transcription leaked confidential strategy session"/>
        <s v="Adversarial AI evaded fraud-detection model at credit union"/>
        <s v="AI newsletter for law firm clients misstated new privacy regulation deadlines"/>
        <s v="Workforce planning AI recommended disproportionate layoffs of older staff"/>
        <s v="AI research assistant cited repealed legislation as current law in court filing"/>
        <s v="AI-personalized phishing emails compromised wealth-management client accounts"/>
        <s v="AI ad copy invented industry rankings for client product launch"/>
        <s v="Medication-review AI flagged fictitious contraindication, delaying patient treatment"/>
        <s v="Auto-loan scoring AI weighted neighborhood income as proxy for protected class"/>
        <s v="AI-generated voicemail scam diverted settlement funds from law firm escrow"/>
        <s v="Patient-portal AI chatbot revealed other patients' lab results in responses"/>
        <s v="Returns AI gave customers nonexistent discount codes"/>
        <s v="AI promotion-prediction tool disadvantaged Black employees"/>
        <s v="AI banking assistant quoted incorrect mortgage rates to 580 customers"/>
        <s v="Renters-insurance AI quoted higher rates to non-native English speakers"/>
        <s v="AI-drafted will referenced nonexistent provincial statute"/>
        <s v="AI background check tool leaked candidate medical disclosures"/>
        <s v="AI ad copy invented product features that did not exist"/>
        <s v="Estate-planning AI cited fictitious tax exemption in trust documents"/>
        <s v="Deepfake video ad depicted competitor CEO making false safety claims"/>
        <s v="AI underwriting tool penalized self-employed applicants disproportionately"/>
        <s v="Interview-screening AI scored candidates lower for speech patterns linked to disability"/>
        <s v="AI voice clone of local news anchor used in unauthorized radio spots"/>
        <s v="Insurance claims AI denied disproportionate share of Indigenous patient claims"/>
        <s v="AI vendor breach leaked source code repositories of 4,800 enterprise clients"/>
        <s v="AI-generated market commentary on bank website misstated economic indicators"/>
        <s v="AI campaign generator overstated product efficacy against competitor claims"/>
        <s v="AI coding assistant introduced deprecated encryption library into production build"/>
        <s v="Synthetic identity built with AI passed bank's automated onboarding checks"/>
        <s v="Prompt injection attack on customer-facing AI exposed enterprise credentials"/>
        <s v="Performance-ranking AI systematically underrated employees over 55"/>
        <s v="Checkout assistant AI stored payment details in unsecured analytics logs"/>
        <s v="Patent-search AI reported fictitious filings, derailing client application"/>
        <s v="AI tax-prep tool invented eligible deductions, CRA reassessment followed"/>
        <s v="AI fraud-detection vendor breach leaked transaction data of 150,000 customers"/>
        <s v="SaaS AI feature exposed 4,800 customer documents via shared model context"/>
        <s v="Product description AI generated false ingredient list for cosmetics"/>
        <s v="AI careers-page generator claimed nonexistent visa sponsorship program"/>
        <s v="IP-clearance AI fabricated registration records in trademark opinion"/>
        <s v="Discovery AI summarized documents with fabricated content"/>
        <s v="Law-firm blog AI misreported scope of new employment legislation"/>
        <s v="Telehealth triage AI transmitted session transcripts to third-party vendor"/>
        <s v="AI-generated news-style ad spread false product recall story"/>
        <s v="Autonomous infusion pump miscalculated dosage during AI override"/>
        <s v="Robo-advisor newsletter AI misquoted central bank rate guidance"/>
        <s v="CV-parsing AI rejected applicants with foreign university credentials"/>
        <s v="AI support chatbot invented nonexistent product feature, customer churn followed"/>
        <s v="Brand-clearance AI invented conflicting marks in availability search"/>
        <s v="Litigation-summary AI attributed fabricated statements to deposition witness"/>
        <s v="AI-driven feature gating excluded users in specific regions without notice"/>
        <s v="Trademark-watch AI generated false infringement alerts, client filed needless opposition"/>
        <s v="Prior-authorization AI denied rural Indigenous patients at elevated rates"/>
        <s v="Succession-planning AI excluded older employees from advancement pools"/>
        <s v="Dermatology AI showed lower accuracy on darker skin tones in clinical pilot"/>
        <s v="Employee-wellness AI shared health survey responses with hiring managers"/>
        <s v="Commercial-policy pricing AI loaded premiums by owner surname origin"/>
        <s v="Audience-segmentation AI leaked identifiable browsing profiles to ad partners"/>
        <s v="Symptom-checker AI invented drug recall, patients stopped medication"/>
        <s v="Contract-drafting AI inserted clause citing nonexistent consumer protection act"/>
        <s v="AI credential-stuffing campaign drained stored-value gift card balances"/>
        <s v="Personality assessment AI scored neurodivergent candidates poorly"/>
        <s v="Synthetic ID fraud ring used GenAI to open 340 accounts"/>
        <s v="AI test-generation tool masked failing security checks with fabricated passing results"/>
        <s v="Risk-scoring AI underestimated cardiac risk for female patients"/>
        <s v="Generative AI chat scam impersonated support agents, harvesting customer logins"/>
        <s v="Family law AI memo cited overturned cases as binding precedent"/>
        <s v="Product-page AI listed fictitious clinical study supporting skincare claims"/>
        <s v="Returns-processing AI emailed order histories to wrong customers in bulk"/>
        <s v="Document-automation AI exposed privileged client files via shared template cache"/>
        <s v="Employee monitoring AI transmitted webcam data to overseas server"/>
        <s v="Discharge-planning AI fabricated follow-up appointment instructions, patient harm"/>
      </sharedItems>
    </cacheField>
    <cacheField name="Incident Date" numFmtId="14">
      <sharedItems containsDate="1" containsMixedTypes="1" minDate="2021-09-07T00:00:00" maxDate="2025-12-16T00:00:00" count="127">
        <s v="21/03/2024"/>
        <s v="17/05/2025"/>
        <d v="2025-11-05T00:00:00"/>
        <d v="2023-04-09T00:00:00"/>
        <s v="15/08/2025"/>
        <s v="27/07/2023"/>
        <s v="14/10/2021"/>
        <d v="2024-07-12T00:00:00"/>
        <d v="2024-04-08T00:00:00"/>
        <s v="17/12/2025"/>
        <d v="2023-04-01T00:00:00"/>
        <d v="2025-04-05T00:00:00"/>
        <s v="17/07/2025"/>
        <s v="13/02/2023"/>
        <d v="2025-12-06T00:00:00"/>
        <d v="2024-02-15T00:00:00"/>
        <s v="14/05/2025"/>
        <s v="22/12/2025"/>
        <d v="2023-12-01T00:00:00"/>
        <s v="28/04/2025"/>
        <s v="28/10/2024"/>
        <d v="2022-03-01T00:00:00"/>
        <s v="21/04/2024"/>
        <d v="2024-08-08T00:00:00"/>
        <s v="28/07/2025"/>
        <s v="23/07/2023"/>
        <d v="2022-01-02T00:00:00"/>
        <d v="2024-10-04T00:00:00"/>
        <s v="22/09/2022"/>
        <s v="13/06/2021"/>
        <d v="2024-04-27T00:00:00"/>
        <d v="2025-12-11T00:00:00"/>
        <s v="16/12/2024"/>
        <d v="2025-02-08T00:00:00"/>
        <d v="2024-12-05T00:00:00"/>
        <d v="2022-05-02T00:00:00"/>
        <s v="23/08/2024"/>
        <d v="2023-09-02T00:00:00"/>
        <s v="20/01/2022"/>
        <s v="26/05/2021"/>
        <d v="2024-03-03T00:00:00"/>
        <d v="2025-05-09T00:00:00"/>
        <s v="15/02/2022"/>
        <d v="2025-11-04T00:00:00"/>
        <s v="18/09/2025"/>
        <s v="28/05/2023"/>
        <d v="2025-11-11T00:00:00"/>
        <s v="24/12/2023"/>
        <d v="2024-05-06T00:00:00"/>
        <d v="2024-08-10T00:00:00"/>
        <s v="25/11/2025"/>
        <s v="24/04/2025"/>
        <s v="15/05/2024"/>
        <s v="19/08/2024"/>
        <s v="14/06/2025"/>
        <s v="14/03/2023"/>
        <d v="2025-11-09T00:00:00"/>
        <s v="16/07/2023"/>
        <s v="28/06/2021"/>
        <d v="2023-06-12T00:00:00"/>
        <s v="27/02/2024"/>
        <d v="2025-12-15T00:00:00"/>
        <s v="13/09/2024"/>
        <s v="13/04/2023"/>
        <s v="26/03/2021"/>
        <d v="2022-04-11T00:00:00"/>
        <d v="2021-09-07T00:00:00"/>
        <s v="27/05/2025"/>
        <s v="16/07/2022"/>
        <s v="20/11/2021"/>
        <d v="2022-06-09T00:00:00"/>
        <s v="23/05/2024"/>
        <d v="2023-06-08T00:00:00"/>
        <d v="2025-04-08T00:00:00"/>
        <d v="2025-11-15T00:00:00"/>
        <s v="18/09/2021"/>
        <d v="2023-10-01T00:00:00"/>
        <s v="22/11/2025"/>
        <d v="2024-08-05T00:00:00"/>
        <s v="24/09/2021"/>
        <d v="2025-08-02T00:00:00"/>
        <s v="18/07/2023"/>
        <d v="2025-05-11T00:00:00"/>
        <d v="2022-03-10T00:00:00"/>
        <d v="2025-09-12T00:00:00"/>
        <d v="2025-12-12T00:00:00"/>
        <s v="18/12/2024"/>
        <s v="28/04/2023"/>
        <s v="21/10/2025"/>
        <s v="16/12/2025"/>
        <d v="2025-01-02T00:00:00"/>
        <s v="25/02/2025"/>
        <d v="2022-05-13T00:00:00"/>
        <s v="21/08/2023"/>
        <d v="2023-05-04T00:00:00"/>
        <d v="2025-12-02T00:00:00"/>
        <s v="21/02/2025"/>
        <s v="28/02/2024"/>
        <d v="2025-08-12T00:00:00"/>
        <d v="2025-02-10T00:00:00"/>
        <d v="2024-07-08T00:00:00"/>
        <s v="21/11/2025"/>
        <s v="25/09/2022"/>
        <d v="2025-11-01T00:00:00"/>
        <s v="14/11/2023"/>
        <s v="22/04/2024"/>
        <s v="28/03/2025"/>
        <d v="2025-06-22T00:00:00"/>
        <d v="2025-03-06T00:00:00"/>
        <d v="2025-12-08T00:00:00"/>
        <d v="2022-06-05T00:00:00"/>
        <d v="2023-01-12T00:00:00"/>
        <s v="24/10/2023"/>
        <d v="2025-03-08T00:00:00"/>
        <s v="18/08/2024"/>
        <d v="2025-05-01T00:00:00"/>
        <d v="2024-12-01T00:00:00"/>
        <s v="16/11/2025"/>
        <s v="24/01/2023"/>
        <d v="2025-02-12T00:00:00"/>
        <s v="19/10/2022"/>
        <s v="22/01/2024"/>
        <s v="21/07/2025"/>
        <d v="2024-09-09T00:00:00"/>
        <s v="20/01/2023"/>
        <s v="22/02/2021"/>
        <d v="2024-08-09T00:00:00"/>
      </sharedItems>
    </cacheField>
    <cacheField name="Industry" numFmtId="0">
      <sharedItems count="7">
        <s v="Financial Services"/>
        <s v="Healthcare"/>
        <s v="E-commerce"/>
        <s v="Marketing/Advertising"/>
        <s v="Technology/SaaS"/>
        <s v="Legal Services"/>
        <s v="HR/Recruiting"/>
      </sharedItems>
    </cacheField>
    <cacheField name="Failure Type" numFmtId="0">
      <sharedItems count="6">
        <s v="Algorithmic Bias"/>
        <s v="Hallucinated Output"/>
        <s v="Privacy and Security"/>
        <s v="Cyber Exploitation via AI"/>
        <s v="Misinformation"/>
        <s v="Autonomous System Failure"/>
      </sharedItems>
    </cacheField>
    <cacheField name="Human Oversight" numFmtId="0">
      <sharedItems count="2">
        <s v="Yes"/>
        <s v="No"/>
      </sharedItems>
    </cacheField>
    <cacheField name="Estimated Insured Loss (CAD)" numFmtId="165">
      <sharedItems containsSemiMixedTypes="0" containsString="0" containsNumber="1" containsInteger="1" minValue="55000" maxValue="31173000"/>
    </cacheField>
  </cacheFields>
  <extLst>
    <ext xmlns:x14="http://schemas.microsoft.com/office/spreadsheetml/2009/9/main" uri="{725AE2AE-9491-48be-B2B4-4EB974FC3084}">
      <x14:pivotCacheDefinition pivotCacheId="783457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s v="AI-0001"/>
    <x v="0"/>
    <x v="0"/>
    <x v="0"/>
    <x v="0"/>
    <x v="0"/>
    <n v="2448000"/>
  </r>
  <r>
    <s v="AI-0002"/>
    <x v="1"/>
    <x v="1"/>
    <x v="1"/>
    <x v="1"/>
    <x v="1"/>
    <n v="260000"/>
  </r>
  <r>
    <s v="AI-0003"/>
    <x v="2"/>
    <x v="2"/>
    <x v="1"/>
    <x v="2"/>
    <x v="1"/>
    <n v="7005000"/>
  </r>
  <r>
    <s v="AI-0004"/>
    <x v="3"/>
    <x v="3"/>
    <x v="1"/>
    <x v="2"/>
    <x v="0"/>
    <n v="2850000"/>
  </r>
  <r>
    <s v="AI-0005"/>
    <x v="4"/>
    <x v="4"/>
    <x v="2"/>
    <x v="1"/>
    <x v="0"/>
    <n v="159000"/>
  </r>
  <r>
    <s v="AI-0006"/>
    <x v="5"/>
    <x v="5"/>
    <x v="0"/>
    <x v="0"/>
    <x v="1"/>
    <n v="4477000"/>
  </r>
  <r>
    <s v="AI-0007"/>
    <x v="6"/>
    <x v="6"/>
    <x v="0"/>
    <x v="3"/>
    <x v="1"/>
    <n v="4779000"/>
  </r>
  <r>
    <s v="AI-0008"/>
    <x v="7"/>
    <x v="7"/>
    <x v="3"/>
    <x v="4"/>
    <x v="1"/>
    <n v="800000"/>
  </r>
  <r>
    <s v="AI-0009"/>
    <x v="8"/>
    <x v="8"/>
    <x v="3"/>
    <x v="1"/>
    <x v="0"/>
    <n v="108000"/>
  </r>
  <r>
    <s v="AI-0010"/>
    <x v="9"/>
    <x v="9"/>
    <x v="3"/>
    <x v="4"/>
    <x v="1"/>
    <n v="781000"/>
  </r>
  <r>
    <s v="AI-0011"/>
    <x v="10"/>
    <x v="10"/>
    <x v="1"/>
    <x v="2"/>
    <x v="1"/>
    <n v="3845000"/>
  </r>
  <r>
    <s v="AI-0012"/>
    <x v="11"/>
    <x v="11"/>
    <x v="1"/>
    <x v="2"/>
    <x v="1"/>
    <n v="2169000"/>
  </r>
  <r>
    <s v="AI-0013"/>
    <x v="12"/>
    <x v="12"/>
    <x v="4"/>
    <x v="5"/>
    <x v="0"/>
    <n v="12887000"/>
  </r>
  <r>
    <s v="AI-0014"/>
    <x v="13"/>
    <x v="13"/>
    <x v="4"/>
    <x v="4"/>
    <x v="1"/>
    <n v="652000"/>
  </r>
  <r>
    <s v="AI-0015"/>
    <x v="14"/>
    <x v="14"/>
    <x v="5"/>
    <x v="1"/>
    <x v="0"/>
    <n v="194000"/>
  </r>
  <r>
    <s v="AI-0016"/>
    <x v="15"/>
    <x v="15"/>
    <x v="4"/>
    <x v="3"/>
    <x v="0"/>
    <n v="4698000"/>
  </r>
  <r>
    <s v="AI-0017"/>
    <x v="16"/>
    <x v="16"/>
    <x v="6"/>
    <x v="0"/>
    <x v="1"/>
    <n v="3322000"/>
  </r>
  <r>
    <s v="AI-0018"/>
    <x v="17"/>
    <x v="17"/>
    <x v="5"/>
    <x v="2"/>
    <x v="1"/>
    <n v="5342000"/>
  </r>
  <r>
    <s v="AI-0019"/>
    <x v="18"/>
    <x v="18"/>
    <x v="1"/>
    <x v="5"/>
    <x v="1"/>
    <n v="31173000"/>
  </r>
  <r>
    <s v="AI-0020"/>
    <x v="19"/>
    <x v="19"/>
    <x v="4"/>
    <x v="1"/>
    <x v="1"/>
    <n v="95000"/>
  </r>
  <r>
    <s v="AI-0021"/>
    <x v="20"/>
    <x v="20"/>
    <x v="3"/>
    <x v="3"/>
    <x v="0"/>
    <n v="2067000"/>
  </r>
  <r>
    <s v="AI-0022"/>
    <x v="21"/>
    <x v="21"/>
    <x v="2"/>
    <x v="2"/>
    <x v="0"/>
    <n v="2802000"/>
  </r>
  <r>
    <s v="AI-0023"/>
    <x v="22"/>
    <x v="22"/>
    <x v="3"/>
    <x v="2"/>
    <x v="1"/>
    <n v="5299000"/>
  </r>
  <r>
    <s v="AI-0024"/>
    <x v="23"/>
    <x v="8"/>
    <x v="4"/>
    <x v="0"/>
    <x v="1"/>
    <n v="3505000"/>
  </r>
  <r>
    <s v="AI-0025"/>
    <x v="24"/>
    <x v="23"/>
    <x v="6"/>
    <x v="4"/>
    <x v="0"/>
    <n v="298000"/>
  </r>
  <r>
    <s v="AI-0026"/>
    <x v="25"/>
    <x v="24"/>
    <x v="5"/>
    <x v="1"/>
    <x v="0"/>
    <n v="104000"/>
  </r>
  <r>
    <s v="AI-0027"/>
    <x v="26"/>
    <x v="25"/>
    <x v="3"/>
    <x v="4"/>
    <x v="0"/>
    <n v="214000"/>
  </r>
  <r>
    <s v="AI-0028"/>
    <x v="27"/>
    <x v="26"/>
    <x v="3"/>
    <x v="4"/>
    <x v="1"/>
    <n v="618000"/>
  </r>
  <r>
    <s v="AI-0029"/>
    <x v="28"/>
    <x v="27"/>
    <x v="5"/>
    <x v="2"/>
    <x v="0"/>
    <n v="4522000"/>
  </r>
  <r>
    <s v="AI-0030"/>
    <x v="29"/>
    <x v="28"/>
    <x v="5"/>
    <x v="1"/>
    <x v="1"/>
    <n v="183000"/>
  </r>
  <r>
    <s v="AI-0031"/>
    <x v="30"/>
    <x v="29"/>
    <x v="0"/>
    <x v="2"/>
    <x v="0"/>
    <n v="3554000"/>
  </r>
  <r>
    <s v="AI-0032"/>
    <x v="31"/>
    <x v="30"/>
    <x v="0"/>
    <x v="3"/>
    <x v="1"/>
    <n v="4375000"/>
  </r>
  <r>
    <s v="AI-0033"/>
    <x v="32"/>
    <x v="31"/>
    <x v="3"/>
    <x v="4"/>
    <x v="1"/>
    <n v="675000"/>
  </r>
  <r>
    <s v="AI-0034"/>
    <x v="33"/>
    <x v="32"/>
    <x v="6"/>
    <x v="0"/>
    <x v="0"/>
    <n v="3133000"/>
  </r>
  <r>
    <s v="AI-0035"/>
    <x v="34"/>
    <x v="33"/>
    <x v="4"/>
    <x v="5"/>
    <x v="1"/>
    <n v="30167000"/>
  </r>
  <r>
    <s v="AI-0036"/>
    <x v="35"/>
    <x v="34"/>
    <x v="4"/>
    <x v="2"/>
    <x v="1"/>
    <n v="5134000"/>
  </r>
  <r>
    <s v="AI-0037"/>
    <x v="36"/>
    <x v="35"/>
    <x v="2"/>
    <x v="5"/>
    <x v="1"/>
    <n v="23105000"/>
  </r>
  <r>
    <s v="AI-0038"/>
    <x v="37"/>
    <x v="36"/>
    <x v="2"/>
    <x v="3"/>
    <x v="0"/>
    <n v="2264000"/>
  </r>
  <r>
    <s v="AI-0039"/>
    <x v="38"/>
    <x v="37"/>
    <x v="3"/>
    <x v="1"/>
    <x v="0"/>
    <n v="205000"/>
  </r>
  <r>
    <s v="AI-0040"/>
    <x v="39"/>
    <x v="38"/>
    <x v="4"/>
    <x v="2"/>
    <x v="1"/>
    <n v="4953000"/>
  </r>
  <r>
    <s v="AI-0041"/>
    <x v="40"/>
    <x v="39"/>
    <x v="2"/>
    <x v="3"/>
    <x v="1"/>
    <n v="3416000"/>
  </r>
  <r>
    <s v="AI-0042"/>
    <x v="41"/>
    <x v="40"/>
    <x v="6"/>
    <x v="0"/>
    <x v="0"/>
    <n v="3515000"/>
  </r>
  <r>
    <s v="AI-0043"/>
    <x v="42"/>
    <x v="41"/>
    <x v="2"/>
    <x v="0"/>
    <x v="1"/>
    <n v="1900000"/>
  </r>
  <r>
    <s v="AI-0044"/>
    <x v="43"/>
    <x v="42"/>
    <x v="5"/>
    <x v="1"/>
    <x v="0"/>
    <n v="186000"/>
  </r>
  <r>
    <s v="AI-0045"/>
    <x v="44"/>
    <x v="43"/>
    <x v="5"/>
    <x v="3"/>
    <x v="1"/>
    <n v="4405000"/>
  </r>
  <r>
    <s v="AI-0046"/>
    <x v="45"/>
    <x v="44"/>
    <x v="6"/>
    <x v="0"/>
    <x v="1"/>
    <n v="5294000"/>
  </r>
  <r>
    <s v="AI-0047"/>
    <x v="46"/>
    <x v="45"/>
    <x v="3"/>
    <x v="4"/>
    <x v="1"/>
    <n v="832000"/>
  </r>
  <r>
    <s v="AI-0048"/>
    <x v="47"/>
    <x v="46"/>
    <x v="4"/>
    <x v="5"/>
    <x v="0"/>
    <n v="13905000"/>
  </r>
  <r>
    <s v="AI-0049"/>
    <x v="48"/>
    <x v="47"/>
    <x v="1"/>
    <x v="1"/>
    <x v="0"/>
    <n v="154000"/>
  </r>
  <r>
    <s v="AI-0050"/>
    <x v="49"/>
    <x v="48"/>
    <x v="4"/>
    <x v="5"/>
    <x v="0"/>
    <n v="15481000"/>
  </r>
  <r>
    <s v="AI-0051"/>
    <x v="50"/>
    <x v="49"/>
    <x v="5"/>
    <x v="4"/>
    <x v="1"/>
    <n v="734000"/>
  </r>
  <r>
    <s v="AI-0052"/>
    <x v="51"/>
    <x v="50"/>
    <x v="2"/>
    <x v="2"/>
    <x v="0"/>
    <n v="3685000"/>
  </r>
  <r>
    <s v="AI-0053"/>
    <x v="52"/>
    <x v="51"/>
    <x v="0"/>
    <x v="0"/>
    <x v="0"/>
    <n v="1038000"/>
  </r>
  <r>
    <s v="AI-0054"/>
    <x v="53"/>
    <x v="52"/>
    <x v="5"/>
    <x v="1"/>
    <x v="1"/>
    <n v="122000"/>
  </r>
  <r>
    <s v="AI-0055"/>
    <x v="54"/>
    <x v="53"/>
    <x v="2"/>
    <x v="3"/>
    <x v="0"/>
    <n v="3071000"/>
  </r>
  <r>
    <s v="AI-0056"/>
    <x v="55"/>
    <x v="54"/>
    <x v="6"/>
    <x v="4"/>
    <x v="0"/>
    <n v="342000"/>
  </r>
  <r>
    <s v="AI-0057"/>
    <x v="56"/>
    <x v="55"/>
    <x v="3"/>
    <x v="2"/>
    <x v="1"/>
    <n v="6531000"/>
  </r>
  <r>
    <s v="AI-0058"/>
    <x v="57"/>
    <x v="43"/>
    <x v="6"/>
    <x v="2"/>
    <x v="1"/>
    <n v="5865000"/>
  </r>
  <r>
    <s v="AI-0059"/>
    <x v="58"/>
    <x v="56"/>
    <x v="4"/>
    <x v="2"/>
    <x v="0"/>
    <n v="2887000"/>
  </r>
  <r>
    <s v="AI-0060"/>
    <x v="59"/>
    <x v="57"/>
    <x v="4"/>
    <x v="5"/>
    <x v="0"/>
    <n v="16443000"/>
  </r>
  <r>
    <s v="AI-0061"/>
    <x v="60"/>
    <x v="58"/>
    <x v="0"/>
    <x v="0"/>
    <x v="0"/>
    <n v="1778000"/>
  </r>
  <r>
    <s v="AI-0062"/>
    <x v="61"/>
    <x v="59"/>
    <x v="2"/>
    <x v="3"/>
    <x v="0"/>
    <n v="3923000"/>
  </r>
  <r>
    <s v="AI-0063"/>
    <x v="62"/>
    <x v="60"/>
    <x v="2"/>
    <x v="1"/>
    <x v="0"/>
    <n v="183000"/>
  </r>
  <r>
    <s v="AI-0064"/>
    <x v="63"/>
    <x v="61"/>
    <x v="1"/>
    <x v="5"/>
    <x v="1"/>
    <n v="19501000"/>
  </r>
  <r>
    <s v="AI-0065"/>
    <x v="64"/>
    <x v="62"/>
    <x v="4"/>
    <x v="2"/>
    <x v="1"/>
    <n v="3276000"/>
  </r>
  <r>
    <s v="AI-0066"/>
    <x v="65"/>
    <x v="36"/>
    <x v="0"/>
    <x v="3"/>
    <x v="0"/>
    <n v="2168000"/>
  </r>
  <r>
    <s v="AI-0067"/>
    <x v="66"/>
    <x v="63"/>
    <x v="5"/>
    <x v="4"/>
    <x v="0"/>
    <n v="141000"/>
  </r>
  <r>
    <s v="AI-0068"/>
    <x v="67"/>
    <x v="64"/>
    <x v="6"/>
    <x v="0"/>
    <x v="1"/>
    <n v="3866000"/>
  </r>
  <r>
    <s v="AI-0069"/>
    <x v="68"/>
    <x v="65"/>
    <x v="5"/>
    <x v="1"/>
    <x v="1"/>
    <n v="243000"/>
  </r>
  <r>
    <s v="AI-0070"/>
    <x v="69"/>
    <x v="66"/>
    <x v="0"/>
    <x v="3"/>
    <x v="1"/>
    <n v="7357000"/>
  </r>
  <r>
    <s v="AI-0071"/>
    <x v="70"/>
    <x v="67"/>
    <x v="3"/>
    <x v="1"/>
    <x v="0"/>
    <n v="210000"/>
  </r>
  <r>
    <s v="AI-0072"/>
    <x v="71"/>
    <x v="68"/>
    <x v="1"/>
    <x v="1"/>
    <x v="0"/>
    <n v="90000"/>
  </r>
  <r>
    <s v="AI-0073"/>
    <x v="72"/>
    <x v="69"/>
    <x v="0"/>
    <x v="0"/>
    <x v="0"/>
    <n v="1621000"/>
  </r>
  <r>
    <s v="AI-0074"/>
    <x v="73"/>
    <x v="70"/>
    <x v="5"/>
    <x v="3"/>
    <x v="1"/>
    <n v="4049000"/>
  </r>
  <r>
    <s v="AI-0075"/>
    <x v="74"/>
    <x v="71"/>
    <x v="1"/>
    <x v="2"/>
    <x v="1"/>
    <n v="5903000"/>
  </r>
  <r>
    <s v="AI-0076"/>
    <x v="75"/>
    <x v="72"/>
    <x v="2"/>
    <x v="1"/>
    <x v="0"/>
    <n v="74000"/>
  </r>
  <r>
    <s v="AI-0077"/>
    <x v="76"/>
    <x v="73"/>
    <x v="6"/>
    <x v="0"/>
    <x v="0"/>
    <n v="2635000"/>
  </r>
  <r>
    <s v="AI-0078"/>
    <x v="77"/>
    <x v="74"/>
    <x v="0"/>
    <x v="1"/>
    <x v="0"/>
    <n v="175000"/>
  </r>
  <r>
    <s v="AI-0079"/>
    <x v="78"/>
    <x v="75"/>
    <x v="0"/>
    <x v="0"/>
    <x v="1"/>
    <n v="2112000"/>
  </r>
  <r>
    <s v="AI-0080"/>
    <x v="79"/>
    <x v="76"/>
    <x v="5"/>
    <x v="1"/>
    <x v="1"/>
    <n v="144000"/>
  </r>
  <r>
    <s v="AI-0081"/>
    <x v="80"/>
    <x v="77"/>
    <x v="6"/>
    <x v="2"/>
    <x v="0"/>
    <n v="1587000"/>
  </r>
  <r>
    <s v="AI-0082"/>
    <x v="81"/>
    <x v="78"/>
    <x v="3"/>
    <x v="1"/>
    <x v="1"/>
    <n v="136000"/>
  </r>
  <r>
    <s v="AI-0083"/>
    <x v="82"/>
    <x v="59"/>
    <x v="5"/>
    <x v="1"/>
    <x v="0"/>
    <n v="168000"/>
  </r>
  <r>
    <s v="AI-0084"/>
    <x v="83"/>
    <x v="79"/>
    <x v="3"/>
    <x v="4"/>
    <x v="1"/>
    <n v="441000"/>
  </r>
  <r>
    <s v="AI-0085"/>
    <x v="84"/>
    <x v="80"/>
    <x v="0"/>
    <x v="0"/>
    <x v="0"/>
    <n v="1990000"/>
  </r>
  <r>
    <s v="AI-0086"/>
    <x v="85"/>
    <x v="81"/>
    <x v="6"/>
    <x v="0"/>
    <x v="0"/>
    <n v="3819000"/>
  </r>
  <r>
    <s v="AI-0087"/>
    <x v="86"/>
    <x v="82"/>
    <x v="3"/>
    <x v="4"/>
    <x v="1"/>
    <n v="452000"/>
  </r>
  <r>
    <s v="AI-0088"/>
    <x v="87"/>
    <x v="83"/>
    <x v="1"/>
    <x v="0"/>
    <x v="1"/>
    <n v="4482000"/>
  </r>
  <r>
    <s v="AI-0089"/>
    <x v="88"/>
    <x v="84"/>
    <x v="4"/>
    <x v="2"/>
    <x v="1"/>
    <n v="4324000"/>
  </r>
  <r>
    <s v="AI-0090"/>
    <x v="89"/>
    <x v="85"/>
    <x v="0"/>
    <x v="4"/>
    <x v="0"/>
    <n v="187000"/>
  </r>
  <r>
    <s v="AI-0091"/>
    <x v="90"/>
    <x v="86"/>
    <x v="3"/>
    <x v="4"/>
    <x v="0"/>
    <n v="318000"/>
  </r>
  <r>
    <s v="AI-0092"/>
    <x v="91"/>
    <x v="87"/>
    <x v="4"/>
    <x v="1"/>
    <x v="0"/>
    <n v="55000"/>
  </r>
  <r>
    <s v="AI-0093"/>
    <x v="92"/>
    <x v="88"/>
    <x v="0"/>
    <x v="3"/>
    <x v="1"/>
    <n v="2235000"/>
  </r>
  <r>
    <s v="AI-0094"/>
    <x v="93"/>
    <x v="89"/>
    <x v="4"/>
    <x v="3"/>
    <x v="0"/>
    <n v="3592000"/>
  </r>
  <r>
    <s v="AI-0095"/>
    <x v="94"/>
    <x v="90"/>
    <x v="6"/>
    <x v="0"/>
    <x v="1"/>
    <n v="4815000"/>
  </r>
  <r>
    <s v="AI-0096"/>
    <x v="95"/>
    <x v="91"/>
    <x v="2"/>
    <x v="2"/>
    <x v="0"/>
    <n v="2718000"/>
  </r>
  <r>
    <s v="AI-0097"/>
    <x v="96"/>
    <x v="92"/>
    <x v="5"/>
    <x v="1"/>
    <x v="1"/>
    <n v="207000"/>
  </r>
  <r>
    <s v="AI-0098"/>
    <x v="97"/>
    <x v="93"/>
    <x v="0"/>
    <x v="1"/>
    <x v="0"/>
    <n v="164000"/>
  </r>
  <r>
    <s v="AI-0099"/>
    <x v="98"/>
    <x v="94"/>
    <x v="0"/>
    <x v="2"/>
    <x v="0"/>
    <n v="2151000"/>
  </r>
  <r>
    <s v="AI-0100"/>
    <x v="99"/>
    <x v="95"/>
    <x v="4"/>
    <x v="2"/>
    <x v="0"/>
    <n v="1971000"/>
  </r>
  <r>
    <s v="AI-0101"/>
    <x v="100"/>
    <x v="96"/>
    <x v="2"/>
    <x v="1"/>
    <x v="0"/>
    <n v="176000"/>
  </r>
  <r>
    <s v="AI-0102"/>
    <x v="101"/>
    <x v="97"/>
    <x v="6"/>
    <x v="4"/>
    <x v="1"/>
    <n v="811000"/>
  </r>
  <r>
    <s v="AI-0103"/>
    <x v="102"/>
    <x v="98"/>
    <x v="5"/>
    <x v="1"/>
    <x v="1"/>
    <n v="74000"/>
  </r>
  <r>
    <s v="AI-0104"/>
    <x v="103"/>
    <x v="99"/>
    <x v="5"/>
    <x v="1"/>
    <x v="1"/>
    <n v="73000"/>
  </r>
  <r>
    <s v="AI-0105"/>
    <x v="104"/>
    <x v="100"/>
    <x v="5"/>
    <x v="4"/>
    <x v="1"/>
    <n v="722000"/>
  </r>
  <r>
    <s v="AI-0106"/>
    <x v="105"/>
    <x v="101"/>
    <x v="1"/>
    <x v="2"/>
    <x v="0"/>
    <n v="3010000"/>
  </r>
  <r>
    <s v="AI-0107"/>
    <x v="106"/>
    <x v="102"/>
    <x v="3"/>
    <x v="4"/>
    <x v="1"/>
    <n v="912000"/>
  </r>
  <r>
    <s v="AI-0108"/>
    <x v="107"/>
    <x v="103"/>
    <x v="1"/>
    <x v="5"/>
    <x v="1"/>
    <n v="16454000"/>
  </r>
  <r>
    <s v="AI-0109"/>
    <x v="108"/>
    <x v="104"/>
    <x v="0"/>
    <x v="4"/>
    <x v="1"/>
    <n v="1190000"/>
  </r>
  <r>
    <s v="AI-0110"/>
    <x v="109"/>
    <x v="105"/>
    <x v="6"/>
    <x v="0"/>
    <x v="1"/>
    <n v="2803000"/>
  </r>
  <r>
    <s v="AI-0111"/>
    <x v="110"/>
    <x v="106"/>
    <x v="4"/>
    <x v="1"/>
    <x v="0"/>
    <n v="169000"/>
  </r>
  <r>
    <s v="AI-0112"/>
    <x v="111"/>
    <x v="107"/>
    <x v="5"/>
    <x v="1"/>
    <x v="0"/>
    <n v="176000"/>
  </r>
  <r>
    <s v="AI-0113"/>
    <x v="112"/>
    <x v="108"/>
    <x v="5"/>
    <x v="1"/>
    <x v="1"/>
    <n v="83000"/>
  </r>
  <r>
    <s v="AI-0114"/>
    <x v="113"/>
    <x v="109"/>
    <x v="4"/>
    <x v="0"/>
    <x v="0"/>
    <n v="2079000"/>
  </r>
  <r>
    <s v="AI-0115"/>
    <x v="114"/>
    <x v="27"/>
    <x v="5"/>
    <x v="1"/>
    <x v="0"/>
    <n v="97000"/>
  </r>
  <r>
    <s v="AI-0116"/>
    <x v="115"/>
    <x v="110"/>
    <x v="1"/>
    <x v="0"/>
    <x v="0"/>
    <n v="1523000"/>
  </r>
  <r>
    <s v="AI-0117"/>
    <x v="116"/>
    <x v="111"/>
    <x v="6"/>
    <x v="0"/>
    <x v="0"/>
    <n v="2646000"/>
  </r>
  <r>
    <s v="AI-0118"/>
    <x v="117"/>
    <x v="112"/>
    <x v="1"/>
    <x v="0"/>
    <x v="0"/>
    <n v="1348000"/>
  </r>
  <r>
    <s v="AI-0119"/>
    <x v="118"/>
    <x v="113"/>
    <x v="6"/>
    <x v="2"/>
    <x v="1"/>
    <n v="6079000"/>
  </r>
  <r>
    <s v="AI-0120"/>
    <x v="119"/>
    <x v="114"/>
    <x v="0"/>
    <x v="0"/>
    <x v="1"/>
    <n v="2440000"/>
  </r>
  <r>
    <s v="AI-0121"/>
    <x v="120"/>
    <x v="115"/>
    <x v="3"/>
    <x v="2"/>
    <x v="0"/>
    <n v="3005000"/>
  </r>
  <r>
    <s v="AI-0122"/>
    <x v="121"/>
    <x v="116"/>
    <x v="1"/>
    <x v="1"/>
    <x v="0"/>
    <n v="130000"/>
  </r>
  <r>
    <s v="AI-0123"/>
    <x v="122"/>
    <x v="117"/>
    <x v="5"/>
    <x v="1"/>
    <x v="0"/>
    <n v="62000"/>
  </r>
  <r>
    <s v="AI-0124"/>
    <x v="123"/>
    <x v="114"/>
    <x v="2"/>
    <x v="3"/>
    <x v="0"/>
    <n v="3187000"/>
  </r>
  <r>
    <s v="AI-0125"/>
    <x v="124"/>
    <x v="118"/>
    <x v="6"/>
    <x v="0"/>
    <x v="1"/>
    <n v="1975000"/>
  </r>
  <r>
    <s v="AI-0126"/>
    <x v="125"/>
    <x v="119"/>
    <x v="0"/>
    <x v="3"/>
    <x v="0"/>
    <n v="3756000"/>
  </r>
  <r>
    <s v="AI-0127"/>
    <x v="126"/>
    <x v="120"/>
    <x v="4"/>
    <x v="1"/>
    <x v="0"/>
    <n v="155000"/>
  </r>
  <r>
    <s v="AI-0128"/>
    <x v="127"/>
    <x v="121"/>
    <x v="1"/>
    <x v="0"/>
    <x v="0"/>
    <n v="2034000"/>
  </r>
  <r>
    <s v="AI-0129"/>
    <x v="128"/>
    <x v="22"/>
    <x v="2"/>
    <x v="3"/>
    <x v="1"/>
    <n v="3073000"/>
  </r>
  <r>
    <s v="AI-0130"/>
    <x v="129"/>
    <x v="102"/>
    <x v="5"/>
    <x v="1"/>
    <x v="1"/>
    <n v="153000"/>
  </r>
  <r>
    <s v="AI-0131"/>
    <x v="130"/>
    <x v="122"/>
    <x v="3"/>
    <x v="1"/>
    <x v="1"/>
    <n v="207000"/>
  </r>
  <r>
    <s v="AI-0132"/>
    <x v="131"/>
    <x v="123"/>
    <x v="2"/>
    <x v="2"/>
    <x v="1"/>
    <n v="4857000"/>
  </r>
  <r>
    <s v="AI-0133"/>
    <x v="132"/>
    <x v="124"/>
    <x v="5"/>
    <x v="2"/>
    <x v="1"/>
    <n v="5626000"/>
  </r>
  <r>
    <s v="AI-0134"/>
    <x v="133"/>
    <x v="125"/>
    <x v="6"/>
    <x v="2"/>
    <x v="0"/>
    <n v="4408000"/>
  </r>
  <r>
    <s v="AI-0135"/>
    <x v="134"/>
    <x v="126"/>
    <x v="1"/>
    <x v="1"/>
    <x v="1"/>
    <n v="289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5CC27-54E0-4991-849A-95E759E947B0}" name="PivotTable66"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3:N21" firstHeaderRow="1" firstDataRow="1" firstDataCol="1"/>
  <pivotFields count="7">
    <pivotField showAll="0"/>
    <pivotField showAll="0"/>
    <pivotField showAll="0"/>
    <pivotField axis="axisRow" showAll="0">
      <items count="8">
        <item x="2"/>
        <item x="0"/>
        <item x="1"/>
        <item x="6"/>
        <item x="5"/>
        <item x="3"/>
        <item x="4"/>
        <item t="default"/>
      </items>
    </pivotField>
    <pivotField showAll="0"/>
    <pivotField showAll="0"/>
    <pivotField dataField="1" numFmtId="165" showAll="0"/>
  </pivotFields>
  <rowFields count="1">
    <field x="3"/>
  </rowFields>
  <rowItems count="8">
    <i>
      <x/>
    </i>
    <i>
      <x v="1"/>
    </i>
    <i>
      <x v="2"/>
    </i>
    <i>
      <x v="3"/>
    </i>
    <i>
      <x v="4"/>
    </i>
    <i>
      <x v="5"/>
    </i>
    <i>
      <x v="6"/>
    </i>
    <i t="grand">
      <x/>
    </i>
  </rowItems>
  <colItems count="1">
    <i/>
  </colItems>
  <dataFields count="1">
    <dataField name="Sum of Estimated Insured Loss (CAD)"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601E09-6826-4C9C-B099-52F20B2CAE5E}" name="PivotTable65"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0" firstHeaderRow="1" firstDataRow="1" firstDataCol="1"/>
  <pivotFields count="7">
    <pivotField showAll="0"/>
    <pivotField showAll="0"/>
    <pivotField showAll="0"/>
    <pivotField showAll="0"/>
    <pivotField axis="axisRow" showAll="0">
      <items count="7">
        <item x="0"/>
        <item x="5"/>
        <item x="3"/>
        <item x="1"/>
        <item x="4"/>
        <item x="2"/>
        <item t="default"/>
      </items>
    </pivotField>
    <pivotField showAll="0"/>
    <pivotField dataField="1" numFmtId="165" showAll="0"/>
  </pivotFields>
  <rowFields count="1">
    <field x="4"/>
  </rowFields>
  <rowItems count="7">
    <i>
      <x/>
    </i>
    <i>
      <x v="1"/>
    </i>
    <i>
      <x v="2"/>
    </i>
    <i>
      <x v="3"/>
    </i>
    <i>
      <x v="4"/>
    </i>
    <i>
      <x v="5"/>
    </i>
    <i t="grand">
      <x/>
    </i>
  </rowItems>
  <colItems count="1">
    <i/>
  </colItems>
  <dataFields count="1">
    <dataField name="Sum of Estimated Insured Loss (CAD)"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D8503D-F61B-414E-8761-B17A3091EA75}" name="PivotTable64"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0:K89" firstHeaderRow="1" firstDataRow="1" firstDataCol="1"/>
  <pivotFields count="7">
    <pivotField showAll="0"/>
    <pivotField showAll="0">
      <items count="136">
        <item x="22"/>
        <item x="65"/>
        <item x="70"/>
        <item x="81"/>
        <item x="80"/>
        <item x="77"/>
        <item x="61"/>
        <item x="90"/>
        <item x="101"/>
        <item x="19"/>
        <item x="91"/>
        <item x="7"/>
        <item x="123"/>
        <item x="98"/>
        <item x="9"/>
        <item x="32"/>
        <item x="43"/>
        <item x="64"/>
        <item x="66"/>
        <item x="8"/>
        <item x="76"/>
        <item x="55"/>
        <item x="68"/>
        <item x="1"/>
        <item x="110"/>
        <item x="97"/>
        <item x="126"/>
        <item x="84"/>
        <item x="39"/>
        <item x="88"/>
        <item x="31"/>
        <item x="86"/>
        <item x="44"/>
        <item x="79"/>
        <item x="37"/>
        <item x="113"/>
        <item x="63"/>
        <item x="27"/>
        <item x="40"/>
        <item x="24"/>
        <item x="15"/>
        <item x="89"/>
        <item x="106"/>
        <item x="6"/>
        <item x="13"/>
        <item x="73"/>
        <item x="69"/>
        <item x="120"/>
        <item x="72"/>
        <item x="36"/>
        <item x="49"/>
        <item x="47"/>
        <item x="34"/>
        <item x="59"/>
        <item x="107"/>
        <item x="111"/>
        <item x="51"/>
        <item x="95"/>
        <item x="3"/>
        <item x="48"/>
        <item x="28"/>
        <item x="119"/>
        <item x="23"/>
        <item x="122"/>
        <item x="5"/>
        <item x="62"/>
        <item x="109"/>
        <item x="46"/>
        <item x="83"/>
        <item x="20"/>
        <item x="54"/>
        <item x="117"/>
        <item x="10"/>
        <item x="134"/>
        <item x="103"/>
        <item x="132"/>
        <item x="42"/>
        <item x="11"/>
        <item x="133"/>
        <item x="118"/>
        <item x="82"/>
        <item x="129"/>
        <item x="38"/>
        <item x="128"/>
        <item x="60"/>
        <item x="29"/>
        <item x="87"/>
        <item x="52"/>
        <item x="85"/>
        <item x="102"/>
        <item x="53"/>
        <item x="17"/>
        <item x="104"/>
        <item x="50"/>
        <item x="112"/>
        <item x="56"/>
        <item x="71"/>
        <item x="35"/>
        <item x="0"/>
        <item x="14"/>
        <item x="96"/>
        <item x="74"/>
        <item x="94"/>
        <item x="124"/>
        <item x="2"/>
        <item x="115"/>
        <item x="100"/>
        <item x="4"/>
        <item x="130"/>
        <item x="93"/>
        <item x="21"/>
        <item x="57"/>
        <item x="78"/>
        <item x="45"/>
        <item x="75"/>
        <item x="131"/>
        <item x="127"/>
        <item x="30"/>
        <item x="108"/>
        <item x="18"/>
        <item x="58"/>
        <item x="99"/>
        <item x="12"/>
        <item x="16"/>
        <item x="116"/>
        <item x="121"/>
        <item x="125"/>
        <item x="92"/>
        <item x="41"/>
        <item x="105"/>
        <item x="25"/>
        <item x="114"/>
        <item x="33"/>
        <item x="26"/>
        <item x="67"/>
        <item t="default"/>
      </items>
    </pivotField>
    <pivotField showAll="0">
      <items count="128">
        <item x="13"/>
        <item x="63"/>
        <item x="29"/>
        <item x="62"/>
        <item x="55"/>
        <item x="16"/>
        <item x="54"/>
        <item x="6"/>
        <item x="104"/>
        <item x="42"/>
        <item x="52"/>
        <item x="4"/>
        <item x="68"/>
        <item x="57"/>
        <item x="117"/>
        <item x="32"/>
        <item x="89"/>
        <item x="1"/>
        <item x="12"/>
        <item x="9"/>
        <item x="81"/>
        <item x="114"/>
        <item x="75"/>
        <item x="44"/>
        <item x="86"/>
        <item x="53"/>
        <item x="120"/>
        <item x="38"/>
        <item x="124"/>
        <item x="69"/>
        <item x="96"/>
        <item x="0"/>
        <item x="22"/>
        <item x="122"/>
        <item x="93"/>
        <item x="88"/>
        <item x="101"/>
        <item x="121"/>
        <item x="125"/>
        <item x="105"/>
        <item x="28"/>
        <item x="77"/>
        <item x="17"/>
        <item x="71"/>
        <item x="25"/>
        <item x="36"/>
        <item x="118"/>
        <item x="51"/>
        <item x="79"/>
        <item x="112"/>
        <item x="47"/>
        <item x="91"/>
        <item x="102"/>
        <item x="50"/>
        <item x="64"/>
        <item x="39"/>
        <item x="60"/>
        <item x="67"/>
        <item x="5"/>
        <item x="97"/>
        <item x="106"/>
        <item x="87"/>
        <item x="19"/>
        <item x="45"/>
        <item x="58"/>
        <item x="24"/>
        <item x="20"/>
        <item x="66"/>
        <item x="26"/>
        <item x="21"/>
        <item x="83"/>
        <item x="65"/>
        <item x="35"/>
        <item x="92"/>
        <item x="110"/>
        <item x="70"/>
        <item x="111"/>
        <item x="10"/>
        <item x="3"/>
        <item x="94"/>
        <item x="72"/>
        <item x="59"/>
        <item x="37"/>
        <item x="76"/>
        <item x="18"/>
        <item x="15"/>
        <item x="40"/>
        <item x="8"/>
        <item x="30"/>
        <item x="48"/>
        <item x="100"/>
        <item x="7"/>
        <item x="78"/>
        <item x="23"/>
        <item x="126"/>
        <item x="49"/>
        <item x="123"/>
        <item x="27"/>
        <item x="116"/>
        <item x="34"/>
        <item x="90"/>
        <item x="33"/>
        <item x="99"/>
        <item x="119"/>
        <item x="108"/>
        <item x="113"/>
        <item x="11"/>
        <item x="73"/>
        <item x="115"/>
        <item x="41"/>
        <item x="82"/>
        <item x="107"/>
        <item x="80"/>
        <item x="98"/>
        <item x="84"/>
        <item x="103"/>
        <item x="43"/>
        <item x="2"/>
        <item x="56"/>
        <item x="46"/>
        <item x="74"/>
        <item x="95"/>
        <item x="14"/>
        <item x="109"/>
        <item x="31"/>
        <item x="85"/>
        <item x="61"/>
        <item t="default"/>
      </items>
    </pivotField>
    <pivotField axis="axisRow" showAll="0">
      <items count="8">
        <item x="2"/>
        <item x="0"/>
        <item x="1"/>
        <item x="6"/>
        <item x="5"/>
        <item x="3"/>
        <item x="4"/>
        <item t="default"/>
      </items>
    </pivotField>
    <pivotField axis="axisRow" showAll="0">
      <items count="7">
        <item x="0"/>
        <item x="5"/>
        <item x="3"/>
        <item x="1"/>
        <item x="4"/>
        <item x="2"/>
        <item t="default"/>
      </items>
    </pivotField>
    <pivotField axis="axisRow" showAll="0">
      <items count="3">
        <item x="1"/>
        <item x="0"/>
        <item t="default"/>
      </items>
    </pivotField>
    <pivotField dataField="1" numFmtId="165" showAll="0"/>
  </pivotFields>
  <rowFields count="3">
    <field x="5"/>
    <field x="3"/>
    <field x="4"/>
  </rowFields>
  <rowItems count="69">
    <i>
      <x/>
    </i>
    <i r="1">
      <x/>
    </i>
    <i r="2">
      <x/>
    </i>
    <i r="2">
      <x v="1"/>
    </i>
    <i r="2">
      <x v="2"/>
    </i>
    <i r="2">
      <x v="5"/>
    </i>
    <i r="1">
      <x v="1"/>
    </i>
    <i r="2">
      <x/>
    </i>
    <i r="2">
      <x v="2"/>
    </i>
    <i r="2">
      <x v="4"/>
    </i>
    <i r="1">
      <x v="2"/>
    </i>
    <i r="2">
      <x/>
    </i>
    <i r="2">
      <x v="1"/>
    </i>
    <i r="2">
      <x v="3"/>
    </i>
    <i r="2">
      <x v="5"/>
    </i>
    <i r="1">
      <x v="3"/>
    </i>
    <i r="2">
      <x/>
    </i>
    <i r="2">
      <x v="4"/>
    </i>
    <i r="2">
      <x v="5"/>
    </i>
    <i r="1">
      <x v="4"/>
    </i>
    <i r="2">
      <x v="2"/>
    </i>
    <i r="2">
      <x v="3"/>
    </i>
    <i r="2">
      <x v="4"/>
    </i>
    <i r="2">
      <x v="5"/>
    </i>
    <i r="1">
      <x v="5"/>
    </i>
    <i r="2">
      <x v="3"/>
    </i>
    <i r="2">
      <x v="4"/>
    </i>
    <i r="2">
      <x v="5"/>
    </i>
    <i r="1">
      <x v="6"/>
    </i>
    <i r="2">
      <x/>
    </i>
    <i r="2">
      <x v="1"/>
    </i>
    <i r="2">
      <x v="3"/>
    </i>
    <i r="2">
      <x v="4"/>
    </i>
    <i r="2">
      <x v="5"/>
    </i>
    <i>
      <x v="1"/>
    </i>
    <i r="1">
      <x/>
    </i>
    <i r="2">
      <x v="2"/>
    </i>
    <i r="2">
      <x v="3"/>
    </i>
    <i r="2">
      <x v="5"/>
    </i>
    <i r="1">
      <x v="1"/>
    </i>
    <i r="2">
      <x/>
    </i>
    <i r="2">
      <x v="2"/>
    </i>
    <i r="2">
      <x v="3"/>
    </i>
    <i r="2">
      <x v="4"/>
    </i>
    <i r="2">
      <x v="5"/>
    </i>
    <i r="1">
      <x v="2"/>
    </i>
    <i r="2">
      <x/>
    </i>
    <i r="2">
      <x v="3"/>
    </i>
    <i r="2">
      <x v="5"/>
    </i>
    <i r="1">
      <x v="3"/>
    </i>
    <i r="2">
      <x/>
    </i>
    <i r="2">
      <x v="4"/>
    </i>
    <i r="2">
      <x v="5"/>
    </i>
    <i r="1">
      <x v="4"/>
    </i>
    <i r="2">
      <x v="3"/>
    </i>
    <i r="2">
      <x v="4"/>
    </i>
    <i r="2">
      <x v="5"/>
    </i>
    <i r="1">
      <x v="5"/>
    </i>
    <i r="2">
      <x v="2"/>
    </i>
    <i r="2">
      <x v="3"/>
    </i>
    <i r="2">
      <x v="4"/>
    </i>
    <i r="2">
      <x v="5"/>
    </i>
    <i r="1">
      <x v="6"/>
    </i>
    <i r="2">
      <x/>
    </i>
    <i r="2">
      <x v="1"/>
    </i>
    <i r="2">
      <x v="2"/>
    </i>
    <i r="2">
      <x v="3"/>
    </i>
    <i r="2">
      <x v="5"/>
    </i>
    <i t="grand">
      <x/>
    </i>
  </rowItems>
  <colItems count="1">
    <i/>
  </colItems>
  <dataFields count="1">
    <dataField name="Sum of Estimated Insured Loss (CAD)"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22BB99-F5FA-47DE-8448-8D5DB209DCC0}" name="PivotTable63"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8" firstHeaderRow="1" firstDataRow="1" firstDataCol="1"/>
  <pivotFields count="7">
    <pivotField showAll="0"/>
    <pivotField showAll="0"/>
    <pivotField showAll="0"/>
    <pivotField showAll="0">
      <items count="8">
        <item x="2"/>
        <item x="0"/>
        <item x="1"/>
        <item x="6"/>
        <item x="5"/>
        <item x="3"/>
        <item x="4"/>
        <item t="default"/>
      </items>
    </pivotField>
    <pivotField axis="axisRow" showAll="0">
      <items count="7">
        <item x="0"/>
        <item x="5"/>
        <item x="3"/>
        <item x="1"/>
        <item x="4"/>
        <item x="2"/>
        <item t="default"/>
      </items>
    </pivotField>
    <pivotField axis="axisRow" showAll="0">
      <items count="3">
        <item x="1"/>
        <item x="0"/>
        <item t="default"/>
      </items>
    </pivotField>
    <pivotField dataField="1" numFmtId="165" showAll="0"/>
  </pivotFields>
  <rowFields count="2">
    <field x="5"/>
    <field x="4"/>
  </rowFields>
  <rowItems count="15">
    <i>
      <x/>
    </i>
    <i r="1">
      <x/>
    </i>
    <i r="1">
      <x v="1"/>
    </i>
    <i r="1">
      <x v="2"/>
    </i>
    <i r="1">
      <x v="3"/>
    </i>
    <i r="1">
      <x v="4"/>
    </i>
    <i r="1">
      <x v="5"/>
    </i>
    <i>
      <x v="1"/>
    </i>
    <i r="1">
      <x/>
    </i>
    <i r="1">
      <x v="1"/>
    </i>
    <i r="1">
      <x v="2"/>
    </i>
    <i r="1">
      <x v="3"/>
    </i>
    <i r="1">
      <x v="4"/>
    </i>
    <i r="1">
      <x v="5"/>
    </i>
    <i t="grand">
      <x/>
    </i>
  </rowItems>
  <colItems count="1">
    <i/>
  </colItems>
  <dataFields count="1">
    <dataField name="Sum of Estimated Insured Loss (CAD)"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munichre.com/en.html/hsb%20(Mar%202026)" TargetMode="External"/><Relationship Id="rId2" Type="http://schemas.openxmlformats.org/officeDocument/2006/relationships/hyperlink" Target="https://www.coalitioninc.com/" TargetMode="External"/><Relationship Id="rId1" Type="http://schemas.openxmlformats.org/officeDocument/2006/relationships/hyperlink" Target="http://testudo.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000"/>
  <sheetViews>
    <sheetView showGridLines="0" zoomScaleNormal="100" workbookViewId="0">
      <selection activeCell="A7" sqref="A7"/>
    </sheetView>
  </sheetViews>
  <sheetFormatPr defaultColWidth="12.6640625" defaultRowHeight="15" customHeight="1"/>
  <cols>
    <col min="1" max="1" width="26" customWidth="1"/>
    <col min="2" max="2" width="30" customWidth="1"/>
    <col min="3" max="3" width="50" customWidth="1"/>
    <col min="4" max="4" width="40" customWidth="1"/>
  </cols>
  <sheetData>
    <row r="1" spans="1:4" ht="24" customHeight="1">
      <c r="A1" s="28" t="s">
        <v>0</v>
      </c>
      <c r="B1" s="28"/>
      <c r="C1" s="28"/>
      <c r="D1" s="28"/>
    </row>
    <row r="2" spans="1:4" ht="15.75" customHeight="1">
      <c r="A2" s="29" t="s">
        <v>1</v>
      </c>
      <c r="B2" s="29"/>
      <c r="C2" s="29"/>
      <c r="D2" s="29"/>
    </row>
    <row r="3" spans="1:4" ht="15.75" customHeight="1"/>
    <row r="4" spans="1:4" ht="15.75" customHeight="1">
      <c r="A4" s="30" t="s">
        <v>2</v>
      </c>
      <c r="B4" s="30"/>
      <c r="C4" s="30"/>
      <c r="D4" s="30"/>
    </row>
    <row r="5" spans="1:4" ht="42" customHeight="1">
      <c r="A5" s="3" t="s">
        <v>3</v>
      </c>
      <c r="B5" s="31" t="s">
        <v>4</v>
      </c>
      <c r="C5" s="31"/>
      <c r="D5" s="31"/>
    </row>
    <row r="6" spans="1:4" ht="42" customHeight="1">
      <c r="A6" s="3" t="s">
        <v>5</v>
      </c>
      <c r="B6" s="31" t="s">
        <v>6</v>
      </c>
      <c r="C6" s="31"/>
      <c r="D6" s="31"/>
    </row>
    <row r="7" spans="1:4" ht="42" customHeight="1">
      <c r="A7" s="3" t="s">
        <v>7</v>
      </c>
      <c r="B7" s="31" t="s">
        <v>8</v>
      </c>
      <c r="C7" s="31"/>
      <c r="D7" s="31"/>
    </row>
    <row r="8" spans="1:4" ht="15.75" customHeight="1">
      <c r="A8" s="30" t="s">
        <v>9</v>
      </c>
      <c r="B8" s="30"/>
      <c r="C8" s="30"/>
      <c r="D8" s="30"/>
    </row>
    <row r="9" spans="1:4" ht="21.75" customHeight="1">
      <c r="A9" s="2" t="s">
        <v>10</v>
      </c>
      <c r="B9" s="32" t="s">
        <v>11</v>
      </c>
      <c r="C9" s="32"/>
      <c r="D9" s="32"/>
    </row>
    <row r="10" spans="1:4" ht="51.75" customHeight="1">
      <c r="A10" s="4" t="s">
        <v>12</v>
      </c>
      <c r="B10" s="33" t="s">
        <v>13</v>
      </c>
      <c r="C10" s="33"/>
      <c r="D10" s="33"/>
    </row>
    <row r="11" spans="1:4" ht="51.75" customHeight="1">
      <c r="A11" s="4" t="s">
        <v>14</v>
      </c>
      <c r="B11" s="33" t="s">
        <v>15</v>
      </c>
      <c r="C11" s="33"/>
      <c r="D11" s="33"/>
    </row>
    <row r="12" spans="1:4" ht="51.75" customHeight="1">
      <c r="A12" s="4" t="s">
        <v>16</v>
      </c>
      <c r="B12" s="33" t="s">
        <v>17</v>
      </c>
      <c r="C12" s="33"/>
      <c r="D12" s="33"/>
    </row>
    <row r="13" spans="1:4" ht="51.75" customHeight="1">
      <c r="A13" s="4" t="s">
        <v>18</v>
      </c>
      <c r="B13" s="33" t="s">
        <v>19</v>
      </c>
      <c r="C13" s="33"/>
      <c r="D13" s="33"/>
    </row>
    <row r="14" spans="1:4" ht="51.75" customHeight="1">
      <c r="A14" s="4" t="s">
        <v>20</v>
      </c>
      <c r="B14" s="33" t="s">
        <v>21</v>
      </c>
      <c r="C14" s="33"/>
      <c r="D14" s="33"/>
    </row>
    <row r="15" spans="1:4" ht="15.75" customHeight="1">
      <c r="A15" s="34"/>
      <c r="B15" s="34"/>
      <c r="C15" s="34"/>
      <c r="D15" s="34"/>
    </row>
    <row r="16" spans="1:4" ht="18.75" customHeight="1">
      <c r="A16" s="30" t="s">
        <v>22</v>
      </c>
      <c r="B16" s="30"/>
      <c r="C16" s="30"/>
      <c r="D16" s="30"/>
    </row>
    <row r="17" spans="1:4" ht="30" customHeight="1">
      <c r="A17" s="5" t="s">
        <v>23</v>
      </c>
      <c r="B17" s="5" t="s">
        <v>24</v>
      </c>
      <c r="C17" s="5" t="s">
        <v>25</v>
      </c>
    </row>
    <row r="18" spans="1:4" ht="54" customHeight="1">
      <c r="A18" s="6" t="s">
        <v>26</v>
      </c>
      <c r="B18" s="7" t="s">
        <v>27</v>
      </c>
      <c r="C18" s="7" t="s">
        <v>28</v>
      </c>
    </row>
    <row r="19" spans="1:4" ht="54" customHeight="1">
      <c r="A19" s="6" t="s">
        <v>29</v>
      </c>
      <c r="B19" s="7" t="s">
        <v>30</v>
      </c>
      <c r="C19" s="7" t="s">
        <v>31</v>
      </c>
    </row>
    <row r="20" spans="1:4" ht="54" customHeight="1">
      <c r="A20" s="6" t="s">
        <v>32</v>
      </c>
      <c r="B20" s="7" t="s">
        <v>33</v>
      </c>
      <c r="C20" s="7" t="s">
        <v>34</v>
      </c>
    </row>
    <row r="21" spans="1:4" ht="54" customHeight="1">
      <c r="A21" s="6" t="s">
        <v>35</v>
      </c>
      <c r="B21" s="7" t="s">
        <v>36</v>
      </c>
      <c r="C21" s="7" t="s">
        <v>37</v>
      </c>
    </row>
    <row r="22" spans="1:4" ht="54" customHeight="1">
      <c r="A22" s="6" t="s">
        <v>38</v>
      </c>
      <c r="B22" s="7" t="s">
        <v>39</v>
      </c>
      <c r="C22" s="7" t="s">
        <v>40</v>
      </c>
    </row>
    <row r="23" spans="1:4" ht="54" customHeight="1">
      <c r="A23" s="6" t="s">
        <v>41</v>
      </c>
      <c r="B23" s="7" t="s">
        <v>42</v>
      </c>
      <c r="C23" s="7" t="s">
        <v>43</v>
      </c>
    </row>
    <row r="24" spans="1:4" ht="43.5" customHeight="1">
      <c r="A24" s="34"/>
      <c r="B24" s="34"/>
      <c r="C24" s="34"/>
      <c r="D24" s="34"/>
    </row>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24:D24"/>
    <mergeCell ref="B12:D12"/>
    <mergeCell ref="B13:D13"/>
    <mergeCell ref="B14:D14"/>
    <mergeCell ref="A15:D15"/>
    <mergeCell ref="A16:D16"/>
    <mergeCell ref="B7:D7"/>
    <mergeCell ref="A8:D8"/>
    <mergeCell ref="B9:D9"/>
    <mergeCell ref="B10:D10"/>
    <mergeCell ref="B11:D11"/>
    <mergeCell ref="A1:D1"/>
    <mergeCell ref="A2:D2"/>
    <mergeCell ref="A4:D4"/>
    <mergeCell ref="B5:D5"/>
    <mergeCell ref="B6:D6"/>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V1017"/>
  <sheetViews>
    <sheetView topLeftCell="A43" zoomScaleNormal="100" workbookViewId="0">
      <selection activeCell="L67" sqref="L67:M67"/>
    </sheetView>
  </sheetViews>
  <sheetFormatPr defaultColWidth="12.6640625" defaultRowHeight="15" customHeight="1"/>
  <cols>
    <col min="1" max="1" width="26.109375" bestFit="1" customWidth="1"/>
    <col min="2" max="2" width="14.109375" bestFit="1" customWidth="1"/>
    <col min="3" max="3" width="11" bestFit="1" customWidth="1"/>
    <col min="4" max="6" width="12.21875" bestFit="1" customWidth="1"/>
    <col min="7" max="7" width="22.44140625" bestFit="1" customWidth="1"/>
    <col min="8" max="8" width="14.33203125" bestFit="1" customWidth="1"/>
    <col min="9" max="13" width="12.21875" bestFit="1" customWidth="1"/>
    <col min="14" max="14" width="22.5546875" bestFit="1" customWidth="1"/>
  </cols>
  <sheetData>
    <row r="1" spans="1:13" ht="16.8">
      <c r="A1" s="8" t="s">
        <v>44</v>
      </c>
      <c r="B1" s="8" t="s">
        <v>45</v>
      </c>
    </row>
    <row r="2" spans="1:13" ht="15.75" customHeight="1">
      <c r="A2" s="9"/>
      <c r="B2" s="10"/>
      <c r="C2" s="10"/>
      <c r="D2" s="10"/>
      <c r="E2" s="10"/>
      <c r="F2" s="10"/>
    </row>
    <row r="3" spans="1:13" ht="17.399999999999999">
      <c r="A3" s="35" t="s">
        <v>46</v>
      </c>
      <c r="B3" s="35"/>
      <c r="C3" s="10"/>
      <c r="D3" s="10"/>
      <c r="E3" s="10"/>
      <c r="F3" s="10"/>
    </row>
    <row r="4" spans="1:13" ht="15.75" customHeight="1">
      <c r="A4" s="11" t="s">
        <v>47</v>
      </c>
      <c r="B4" s="12">
        <v>2021</v>
      </c>
      <c r="C4" s="12">
        <v>2022</v>
      </c>
      <c r="D4" s="12">
        <v>2023</v>
      </c>
      <c r="E4" s="12">
        <v>2024</v>
      </c>
      <c r="F4" s="12">
        <v>2025</v>
      </c>
      <c r="G4" s="40" t="s">
        <v>47</v>
      </c>
      <c r="H4" s="40">
        <v>2021</v>
      </c>
      <c r="I4" s="40">
        <v>2022</v>
      </c>
      <c r="J4" s="40">
        <v>2023</v>
      </c>
      <c r="K4" s="40">
        <v>2024</v>
      </c>
      <c r="L4" s="40">
        <v>2025</v>
      </c>
      <c r="M4" s="40" t="s">
        <v>454</v>
      </c>
    </row>
    <row r="5" spans="1:13" ht="15.75" customHeight="1">
      <c r="A5" s="11" t="s">
        <v>12</v>
      </c>
      <c r="B5" s="13">
        <v>4150</v>
      </c>
      <c r="C5" s="13">
        <v>4413</v>
      </c>
      <c r="D5" s="13">
        <v>4592</v>
      </c>
      <c r="E5" s="13">
        <v>4889</v>
      </c>
      <c r="F5" s="13">
        <v>5012</v>
      </c>
      <c r="G5" s="39" t="s">
        <v>35</v>
      </c>
      <c r="H5" s="41">
        <f>B9/B7</f>
        <v>0.58486898788708119</v>
      </c>
      <c r="I5" s="41">
        <f t="shared" ref="I5:L5" si="0">C9/C7</f>
        <v>0.64541517465899845</v>
      </c>
      <c r="J5" s="41">
        <f t="shared" si="0"/>
        <v>0.61952657803768796</v>
      </c>
      <c r="K5" s="41">
        <f t="shared" si="0"/>
        <v>0.6389458288800135</v>
      </c>
      <c r="L5" s="41">
        <f t="shared" si="0"/>
        <v>0.56804105065900545</v>
      </c>
      <c r="M5" s="41">
        <f>AVERAGE(H5:L5)</f>
        <v>0.61135952402455729</v>
      </c>
    </row>
    <row r="6" spans="1:13" ht="15.75" customHeight="1">
      <c r="A6" s="11" t="s">
        <v>48</v>
      </c>
      <c r="B6" s="14">
        <f>B8/B5</f>
        <v>0.12216867469879518</v>
      </c>
      <c r="C6" s="14">
        <f>C8/C5</f>
        <v>0.11466122818944029</v>
      </c>
      <c r="D6" s="14">
        <f>D8/D5</f>
        <v>0.12195121951219512</v>
      </c>
      <c r="E6" s="14">
        <f>E8/E5</f>
        <v>0.11679280016363265</v>
      </c>
      <c r="F6" s="14">
        <f>F8/F5</f>
        <v>0.12011173184357542</v>
      </c>
      <c r="G6" s="39" t="s">
        <v>38</v>
      </c>
      <c r="H6" s="41">
        <f>B11/B7</f>
        <v>0.25</v>
      </c>
      <c r="I6" s="41">
        <f t="shared" ref="I6:L6" si="1">C11/C7</f>
        <v>0.24999964490099133</v>
      </c>
      <c r="J6" s="41">
        <f t="shared" si="1"/>
        <v>0.25</v>
      </c>
      <c r="K6" s="41">
        <f t="shared" si="1"/>
        <v>0.24999943747538955</v>
      </c>
      <c r="L6" s="41">
        <f t="shared" si="1"/>
        <v>0.24999976327125042</v>
      </c>
      <c r="M6" s="41">
        <f>AVERAGE(H6:L6)</f>
        <v>0.24999976912952629</v>
      </c>
    </row>
    <row r="7" spans="1:13" ht="15.75" customHeight="1">
      <c r="A7" s="11" t="s">
        <v>49</v>
      </c>
      <c r="B7" s="15">
        <v>78924</v>
      </c>
      <c r="C7" s="15">
        <v>70402.899999999994</v>
      </c>
      <c r="D7" s="15">
        <v>93844.4</v>
      </c>
      <c r="E7" s="15">
        <v>88885</v>
      </c>
      <c r="F7" s="15">
        <v>105606.1</v>
      </c>
      <c r="G7" s="39" t="s">
        <v>41</v>
      </c>
      <c r="H7" s="41">
        <f>SUM(H5:H6)</f>
        <v>0.83486898788708119</v>
      </c>
      <c r="I7" s="41">
        <f t="shared" ref="I7:L7" si="2">SUM(I5:I6)</f>
        <v>0.89541481955998981</v>
      </c>
      <c r="J7" s="41">
        <f t="shared" si="2"/>
        <v>0.86952657803768796</v>
      </c>
      <c r="K7" s="41">
        <f t="shared" si="2"/>
        <v>0.88894526635540305</v>
      </c>
      <c r="L7" s="41">
        <f t="shared" si="2"/>
        <v>0.81804081393025585</v>
      </c>
      <c r="M7" s="41">
        <f>AVERAGE(H7:L7)</f>
        <v>0.86135929315408366</v>
      </c>
    </row>
    <row r="8" spans="1:13" ht="15.75" customHeight="1">
      <c r="A8" s="11" t="s">
        <v>50</v>
      </c>
      <c r="B8" s="15">
        <v>507</v>
      </c>
      <c r="C8" s="15">
        <v>506</v>
      </c>
      <c r="D8" s="15">
        <v>560</v>
      </c>
      <c r="E8" s="15">
        <v>571</v>
      </c>
      <c r="F8" s="15">
        <v>602</v>
      </c>
      <c r="G8" s="39" t="s">
        <v>14</v>
      </c>
      <c r="H8" s="42">
        <f>SUM(B7:F7)</f>
        <v>437662.4</v>
      </c>
      <c r="I8" s="39"/>
      <c r="J8" s="39"/>
      <c r="K8" s="39"/>
      <c r="L8" s="39"/>
      <c r="M8" s="39"/>
    </row>
    <row r="9" spans="1:13" ht="15.75" customHeight="1">
      <c r="A9" s="11" t="s">
        <v>51</v>
      </c>
      <c r="B9" s="15">
        <v>46160.2</v>
      </c>
      <c r="C9" s="15">
        <v>45439.1</v>
      </c>
      <c r="D9" s="15">
        <v>58139.1</v>
      </c>
      <c r="E9" s="15">
        <v>56792.7</v>
      </c>
      <c r="F9" s="15">
        <v>59988.6</v>
      </c>
      <c r="G9" s="39" t="s">
        <v>456</v>
      </c>
      <c r="H9" s="44">
        <f>AVERAGE(B6:F6)</f>
        <v>0.11913713088152773</v>
      </c>
      <c r="I9" s="39"/>
      <c r="J9" s="39"/>
      <c r="K9" s="39"/>
      <c r="L9" s="39"/>
      <c r="M9" s="39"/>
    </row>
    <row r="10" spans="1:13" ht="15.75" customHeight="1">
      <c r="A10" s="11" t="s">
        <v>52</v>
      </c>
      <c r="B10" s="15">
        <f>B9/B8</f>
        <v>91.045759368836286</v>
      </c>
      <c r="C10" s="15">
        <f>C9/C8</f>
        <v>89.800592885375494</v>
      </c>
      <c r="D10" s="15">
        <f>D9/D8</f>
        <v>103.81982142857143</v>
      </c>
      <c r="E10" s="15">
        <f>E9/E8</f>
        <v>99.461821366024509</v>
      </c>
      <c r="F10" s="15">
        <f>F9/F8</f>
        <v>99.648837209302329</v>
      </c>
      <c r="G10" s="39" t="s">
        <v>457</v>
      </c>
      <c r="H10" s="42">
        <f>B7-B9-B11</f>
        <v>13032.800000000003</v>
      </c>
      <c r="I10" s="42">
        <f t="shared" ref="I10:L10" si="3">C7-C9-C11</f>
        <v>7363.0999999999949</v>
      </c>
      <c r="J10" s="42">
        <f t="shared" si="3"/>
        <v>12244.199999999997</v>
      </c>
      <c r="K10" s="42">
        <f t="shared" si="3"/>
        <v>9871.1000000000022</v>
      </c>
      <c r="L10" s="42">
        <f t="shared" si="3"/>
        <v>19216.000000000007</v>
      </c>
      <c r="M10" s="42">
        <f>AVERAGE(H10:L10)</f>
        <v>12345.44</v>
      </c>
    </row>
    <row r="11" spans="1:13" ht="15.75" customHeight="1">
      <c r="A11" s="11" t="s">
        <v>53</v>
      </c>
      <c r="B11" s="15">
        <v>19731</v>
      </c>
      <c r="C11" s="15">
        <v>17600.7</v>
      </c>
      <c r="D11" s="15">
        <v>23461.1</v>
      </c>
      <c r="E11" s="15">
        <v>22221.200000000001</v>
      </c>
      <c r="F11" s="15">
        <v>26401.5</v>
      </c>
      <c r="G11" s="39" t="s">
        <v>458</v>
      </c>
      <c r="H11" s="45">
        <f>1-H7</f>
        <v>0.16513101211291881</v>
      </c>
      <c r="I11" s="45">
        <f t="shared" ref="I11:M11" si="4">1-I7</f>
        <v>0.10458518044001019</v>
      </c>
      <c r="J11" s="45">
        <f t="shared" si="4"/>
        <v>0.13047342196231204</v>
      </c>
      <c r="K11" s="45">
        <f t="shared" si="4"/>
        <v>0.11105473364459695</v>
      </c>
      <c r="L11" s="45">
        <f t="shared" si="4"/>
        <v>0.18195918606974415</v>
      </c>
      <c r="M11" s="45">
        <f t="shared" si="4"/>
        <v>0.13864070684591634</v>
      </c>
    </row>
    <row r="12" spans="1:13" ht="15.75" customHeight="1">
      <c r="A12" s="11" t="s">
        <v>468</v>
      </c>
      <c r="B12" s="46">
        <f>(F7-B7)/B7</f>
        <v>0.33807333637423354</v>
      </c>
      <c r="C12" s="15"/>
      <c r="D12" s="15"/>
      <c r="E12" s="15"/>
      <c r="F12" s="15"/>
      <c r="G12" s="39" t="s">
        <v>29</v>
      </c>
      <c r="H12" s="55">
        <f>AVERAGE(B10:F10)</f>
        <v>96.75536645162201</v>
      </c>
      <c r="I12" s="45"/>
      <c r="J12" s="45"/>
      <c r="K12" s="45"/>
      <c r="L12" s="45"/>
      <c r="M12" s="45"/>
    </row>
    <row r="13" spans="1:13" ht="15.75" customHeight="1">
      <c r="A13" s="11" t="s">
        <v>469</v>
      </c>
      <c r="B13" s="38">
        <f>(F10-B10)/B10</f>
        <v>9.4491801706151263E-2</v>
      </c>
      <c r="C13" s="1"/>
      <c r="D13" s="10"/>
      <c r="E13" s="10"/>
      <c r="F13" s="10"/>
      <c r="G13" s="39"/>
      <c r="H13" s="39"/>
      <c r="I13" s="39"/>
      <c r="J13" s="39"/>
      <c r="K13" s="39"/>
      <c r="L13" s="39" t="s">
        <v>483</v>
      </c>
      <c r="M13" s="39">
        <f>_xlfn.STDEV.P(H7:L7)</f>
        <v>3.0218194036114778E-2</v>
      </c>
    </row>
    <row r="14" spans="1:13" ht="15.75" customHeight="1">
      <c r="A14" s="11" t="s">
        <v>482</v>
      </c>
      <c r="B14" s="54">
        <f>SUM(B7:F7)</f>
        <v>437662.4</v>
      </c>
      <c r="C14" s="1"/>
      <c r="D14" s="10"/>
      <c r="E14" s="10"/>
      <c r="F14" s="10"/>
      <c r="G14" s="39"/>
      <c r="H14" s="39"/>
      <c r="I14" s="39"/>
      <c r="J14" s="39"/>
      <c r="K14" s="39"/>
      <c r="L14" s="39" t="s">
        <v>484</v>
      </c>
      <c r="M14" s="39">
        <f>_xlfn.STDEV.P(B10:F10)</f>
        <v>5.4142789685820247</v>
      </c>
    </row>
    <row r="15" spans="1:13" ht="15.75" customHeight="1">
      <c r="A15" s="11"/>
      <c r="B15" s="38"/>
      <c r="C15" s="1"/>
      <c r="D15" s="10"/>
      <c r="E15" s="10"/>
      <c r="F15" s="10"/>
      <c r="G15" s="39"/>
      <c r="H15" s="39"/>
      <c r="I15" s="39"/>
      <c r="J15" s="39"/>
      <c r="K15" s="39"/>
      <c r="L15" t="s">
        <v>485</v>
      </c>
      <c r="M15">
        <f>_xlfn.STDEV.P(B6:F6)</f>
        <v>2.9525850096615443E-3</v>
      </c>
    </row>
    <row r="16" spans="1:13" ht="17.399999999999999">
      <c r="A16" s="1" t="s">
        <v>54</v>
      </c>
      <c r="B16" s="1"/>
      <c r="C16" s="1"/>
      <c r="D16" s="10"/>
      <c r="E16" s="10"/>
      <c r="F16" s="10"/>
      <c r="G16" s="39"/>
      <c r="H16" s="39"/>
      <c r="I16" s="39"/>
      <c r="J16" s="39"/>
      <c r="K16" s="39"/>
      <c r="L16" s="39"/>
      <c r="M16" s="39"/>
    </row>
    <row r="17" spans="1:13" ht="15.75" customHeight="1">
      <c r="A17" s="11" t="s">
        <v>47</v>
      </c>
      <c r="B17" s="12">
        <v>2021</v>
      </c>
      <c r="C17" s="12">
        <v>2022</v>
      </c>
      <c r="D17" s="12">
        <v>2023</v>
      </c>
      <c r="E17" s="12">
        <v>2024</v>
      </c>
      <c r="F17" s="12">
        <v>2025</v>
      </c>
      <c r="G17" s="39"/>
      <c r="H17" s="40">
        <v>2021</v>
      </c>
      <c r="I17" s="40">
        <v>2022</v>
      </c>
      <c r="J17" s="40">
        <v>2023</v>
      </c>
      <c r="K17" s="40">
        <v>2024</v>
      </c>
      <c r="L17" s="40">
        <v>2025</v>
      </c>
      <c r="M17" s="40" t="s">
        <v>454</v>
      </c>
    </row>
    <row r="18" spans="1:13" ht="15.75" customHeight="1">
      <c r="A18" s="11" t="s">
        <v>12</v>
      </c>
      <c r="B18" s="13">
        <v>1826</v>
      </c>
      <c r="C18" s="13">
        <v>2110</v>
      </c>
      <c r="D18" s="13">
        <v>2788</v>
      </c>
      <c r="E18" s="13">
        <v>3375</v>
      </c>
      <c r="F18" s="13">
        <v>3998</v>
      </c>
      <c r="G18" s="39" t="s">
        <v>35</v>
      </c>
      <c r="H18" s="41">
        <f>B22/B20</f>
        <v>0.58223162866923672</v>
      </c>
      <c r="I18" s="41">
        <f t="shared" ref="I18:L18" si="5">C22/C20</f>
        <v>0.63122799733336454</v>
      </c>
      <c r="J18" s="41">
        <f t="shared" si="5"/>
        <v>0.64477700470625932</v>
      </c>
      <c r="K18" s="41">
        <f t="shared" si="5"/>
        <v>0.688221945484215</v>
      </c>
      <c r="L18" s="41">
        <f t="shared" si="5"/>
        <v>0.69636508879996062</v>
      </c>
      <c r="M18" s="41">
        <f>AVERAGE(H18:L18)</f>
        <v>0.64856473299860729</v>
      </c>
    </row>
    <row r="19" spans="1:13" ht="15.75" customHeight="1">
      <c r="A19" s="11" t="s">
        <v>48</v>
      </c>
      <c r="B19" s="14">
        <f>B21/B18</f>
        <v>0.23713033953997809</v>
      </c>
      <c r="C19" s="14">
        <f>C21/C18</f>
        <v>9.8104265402843602E-2</v>
      </c>
      <c r="D19" s="14">
        <f>D21/D18</f>
        <v>0.14383070301291248</v>
      </c>
      <c r="E19" s="14">
        <f>E21/E18</f>
        <v>0.14459259259259261</v>
      </c>
      <c r="F19" s="14">
        <f>F21/F18</f>
        <v>7.6788394197098556E-2</v>
      </c>
      <c r="G19" s="39" t="s">
        <v>38</v>
      </c>
      <c r="H19" s="41">
        <f>B24/B20</f>
        <v>0.2799995420354236</v>
      </c>
      <c r="I19" s="41">
        <f t="shared" ref="I19" si="6">C24/C20</f>
        <v>0.27999964912691078</v>
      </c>
      <c r="J19" s="41">
        <f t="shared" ref="J19" si="7">D24/D20</f>
        <v>0.28000005772780479</v>
      </c>
      <c r="K19" s="41">
        <f t="shared" ref="K19" si="8">E24/E20</f>
        <v>0.27999965387718839</v>
      </c>
      <c r="L19" s="41">
        <f t="shared" ref="L19" si="9">F24/F20</f>
        <v>0.27999984856114152</v>
      </c>
      <c r="M19" s="41">
        <f>AVERAGE(H19:L19)</f>
        <v>0.27999975026569379</v>
      </c>
    </row>
    <row r="20" spans="1:13" ht="15.75" customHeight="1">
      <c r="A20" s="11" t="s">
        <v>49</v>
      </c>
      <c r="B20" s="15">
        <v>122280.2</v>
      </c>
      <c r="C20" s="15">
        <v>68400.800000000003</v>
      </c>
      <c r="D20" s="15">
        <v>138581.4</v>
      </c>
      <c r="E20" s="15">
        <v>138679.1</v>
      </c>
      <c r="F20" s="15">
        <v>132066.5</v>
      </c>
      <c r="G20" s="39" t="s">
        <v>41</v>
      </c>
      <c r="H20" s="41">
        <f>SUM(H18:H19)</f>
        <v>0.86223117070466038</v>
      </c>
      <c r="I20" s="41">
        <f t="shared" ref="I20" si="10">SUM(I18:I19)</f>
        <v>0.91122764646027532</v>
      </c>
      <c r="J20" s="41">
        <f t="shared" ref="J20" si="11">SUM(J18:J19)</f>
        <v>0.9247770624340641</v>
      </c>
      <c r="K20" s="41">
        <f t="shared" ref="K20" si="12">SUM(K18:K19)</f>
        <v>0.9682215993614034</v>
      </c>
      <c r="L20" s="41">
        <f t="shared" ref="L20" si="13">SUM(L18:L19)</f>
        <v>0.97636493736110208</v>
      </c>
      <c r="M20" s="41">
        <f>AVERAGE(H20:L20)</f>
        <v>0.92856448326430097</v>
      </c>
    </row>
    <row r="21" spans="1:13" ht="15.75" customHeight="1">
      <c r="A21" s="11" t="s">
        <v>50</v>
      </c>
      <c r="B21" s="15">
        <v>433</v>
      </c>
      <c r="C21" s="15">
        <v>207</v>
      </c>
      <c r="D21" s="15">
        <v>401</v>
      </c>
      <c r="E21" s="15">
        <v>488</v>
      </c>
      <c r="F21" s="15">
        <v>307</v>
      </c>
      <c r="G21" s="39" t="s">
        <v>14</v>
      </c>
      <c r="H21" s="42">
        <f>SUM(B20:F20)</f>
        <v>600008</v>
      </c>
      <c r="I21" s="39"/>
      <c r="J21" s="39"/>
      <c r="K21" s="39"/>
      <c r="L21" s="39"/>
      <c r="M21" s="39"/>
    </row>
    <row r="22" spans="1:13" ht="15.75" customHeight="1">
      <c r="A22" s="11" t="s">
        <v>51</v>
      </c>
      <c r="B22" s="15">
        <v>71195.399999999994</v>
      </c>
      <c r="C22" s="15">
        <v>43176.5</v>
      </c>
      <c r="D22" s="15">
        <v>89354.1</v>
      </c>
      <c r="E22" s="15">
        <v>95442</v>
      </c>
      <c r="F22" s="15">
        <v>91966.5</v>
      </c>
      <c r="G22" s="39" t="s">
        <v>456</v>
      </c>
      <c r="H22" s="44">
        <f>AVERAGE(B19:F19)</f>
        <v>0.14008925894908508</v>
      </c>
      <c r="I22" s="39"/>
      <c r="J22" s="39"/>
      <c r="K22" s="39"/>
      <c r="L22" s="39"/>
      <c r="M22" s="39"/>
    </row>
    <row r="23" spans="1:13" ht="15.75" customHeight="1">
      <c r="A23" s="11" t="s">
        <v>52</v>
      </c>
      <c r="B23" s="15">
        <f>B22/B21</f>
        <v>164.42355658198613</v>
      </c>
      <c r="C23" s="15">
        <f>C22/C21</f>
        <v>208.58212560386474</v>
      </c>
      <c r="D23" s="15">
        <f>D22/D21</f>
        <v>222.82817955112222</v>
      </c>
      <c r="E23" s="15">
        <f>E22/E21</f>
        <v>195.57786885245901</v>
      </c>
      <c r="F23" s="15">
        <f>F22/F21</f>
        <v>299.56514657980455</v>
      </c>
      <c r="G23" s="39" t="s">
        <v>457</v>
      </c>
      <c r="H23" s="42">
        <f>B20-B22-B24</f>
        <v>16846.400000000001</v>
      </c>
      <c r="I23" s="42">
        <f t="shared" ref="I23" si="14">C20-C22-C24</f>
        <v>6072.1000000000022</v>
      </c>
      <c r="J23" s="42">
        <f t="shared" ref="J23" si="15">D20-D22-D24</f>
        <v>10424.499999999985</v>
      </c>
      <c r="K23" s="42">
        <f t="shared" ref="K23" si="16">E20-E22-E24</f>
        <v>4407.0000000000073</v>
      </c>
      <c r="L23" s="42">
        <f t="shared" ref="L23" si="17">F20-F22-F24</f>
        <v>3121.4000000000015</v>
      </c>
      <c r="M23" s="42">
        <f>AVERAGE(H23:L23)</f>
        <v>8174.2799999999988</v>
      </c>
    </row>
    <row r="24" spans="1:13" ht="15.75" customHeight="1">
      <c r="A24" s="11" t="s">
        <v>53</v>
      </c>
      <c r="B24" s="15">
        <v>34238.400000000001</v>
      </c>
      <c r="C24" s="15">
        <v>19152.2</v>
      </c>
      <c r="D24" s="15">
        <v>38802.800000000003</v>
      </c>
      <c r="E24" s="15">
        <v>38830.1</v>
      </c>
      <c r="F24" s="15">
        <v>36978.6</v>
      </c>
      <c r="G24" s="39" t="s">
        <v>458</v>
      </c>
      <c r="H24" s="45">
        <f>1-H20</f>
        <v>0.13776882929533962</v>
      </c>
      <c r="I24" s="45">
        <f t="shared" ref="I24:M24" si="18">1-I20</f>
        <v>8.877235353972468E-2</v>
      </c>
      <c r="J24" s="45">
        <f t="shared" si="18"/>
        <v>7.5222937565935899E-2</v>
      </c>
      <c r="K24" s="45">
        <f t="shared" si="18"/>
        <v>3.1778400638596604E-2</v>
      </c>
      <c r="L24" s="45">
        <f t="shared" si="18"/>
        <v>2.3635062638897919E-2</v>
      </c>
      <c r="M24" s="45">
        <f t="shared" si="18"/>
        <v>7.1435516735699034E-2</v>
      </c>
    </row>
    <row r="25" spans="1:13" ht="15.75" customHeight="1">
      <c r="A25" s="11" t="s">
        <v>468</v>
      </c>
      <c r="B25" s="46">
        <f>(F20-B20)/B20</f>
        <v>8.0031763114551693E-2</v>
      </c>
      <c r="C25" s="15"/>
      <c r="D25" s="15"/>
      <c r="E25" s="15"/>
      <c r="F25" s="15"/>
      <c r="G25" s="39" t="s">
        <v>29</v>
      </c>
      <c r="H25" s="55">
        <f>AVERAGE(B23:F23)</f>
        <v>218.19537543384735</v>
      </c>
      <c r="I25" s="45"/>
      <c r="J25" s="45"/>
      <c r="K25" s="45"/>
      <c r="L25" s="45"/>
      <c r="M25" s="45"/>
    </row>
    <row r="26" spans="1:13" ht="15.75" customHeight="1">
      <c r="A26" s="11" t="s">
        <v>469</v>
      </c>
      <c r="B26" s="38">
        <f>(F23-B23)/B23</f>
        <v>0.82191136603004378</v>
      </c>
      <c r="C26" s="1"/>
      <c r="D26" s="10"/>
      <c r="E26" s="10"/>
      <c r="F26" s="10"/>
      <c r="G26" s="39"/>
      <c r="H26" s="39"/>
      <c r="I26" s="39"/>
      <c r="J26" s="39"/>
      <c r="K26" s="39"/>
      <c r="L26" s="39" t="s">
        <v>483</v>
      </c>
      <c r="M26" s="39">
        <f>_xlfn.STDEV.P(H20:L20)</f>
        <v>4.1406736386846894E-2</v>
      </c>
    </row>
    <row r="27" spans="1:13" ht="15.75" customHeight="1">
      <c r="A27" s="11" t="s">
        <v>482</v>
      </c>
      <c r="B27" s="54">
        <f>SUM(B20:F20)</f>
        <v>600008</v>
      </c>
      <c r="C27" s="1"/>
      <c r="D27" s="10"/>
      <c r="E27" s="10"/>
      <c r="F27" s="10"/>
      <c r="G27" s="39"/>
      <c r="H27" s="39"/>
      <c r="I27" s="39"/>
      <c r="J27" s="39"/>
      <c r="K27" s="39"/>
      <c r="L27" s="39" t="s">
        <v>484</v>
      </c>
      <c r="M27" s="39">
        <f>_xlfn.STDEV.P(B23:F23)</f>
        <v>45.028606927651225</v>
      </c>
    </row>
    <row r="28" spans="1:13" ht="15.75" customHeight="1">
      <c r="A28" s="11"/>
      <c r="B28" s="38"/>
      <c r="C28" s="1"/>
      <c r="D28" s="10"/>
      <c r="E28" s="10"/>
      <c r="F28" s="10"/>
      <c r="G28" s="39"/>
      <c r="H28" s="39"/>
      <c r="I28" s="39"/>
      <c r="J28" s="39"/>
      <c r="K28" s="39"/>
      <c r="L28" t="s">
        <v>485</v>
      </c>
      <c r="M28">
        <f>_xlfn.STDEV.P(B19:F19)</f>
        <v>5.5174249249560069E-2</v>
      </c>
    </row>
    <row r="29" spans="1:13" ht="17.399999999999999">
      <c r="A29" s="35" t="s">
        <v>55</v>
      </c>
      <c r="B29" s="35"/>
      <c r="C29" s="35"/>
      <c r="D29" s="10"/>
      <c r="E29" s="10"/>
      <c r="F29" s="10"/>
      <c r="G29" s="39"/>
      <c r="H29" s="39"/>
      <c r="I29" s="39"/>
      <c r="J29" s="39"/>
      <c r="K29" s="39"/>
      <c r="L29" s="39"/>
      <c r="M29" s="39"/>
    </row>
    <row r="30" spans="1:13" ht="15.75" customHeight="1">
      <c r="A30" s="11" t="s">
        <v>47</v>
      </c>
      <c r="B30" s="12">
        <v>2021</v>
      </c>
      <c r="C30" s="12">
        <v>2022</v>
      </c>
      <c r="D30" s="12">
        <v>2023</v>
      </c>
      <c r="E30" s="12">
        <v>2024</v>
      </c>
      <c r="F30" s="12">
        <v>2025</v>
      </c>
      <c r="G30" s="39"/>
      <c r="H30" s="40">
        <v>2021</v>
      </c>
      <c r="I30" s="40">
        <v>2022</v>
      </c>
      <c r="J30" s="40">
        <v>2023</v>
      </c>
      <c r="K30" s="40">
        <v>2024</v>
      </c>
      <c r="L30" s="40">
        <v>2025</v>
      </c>
      <c r="M30" s="40" t="s">
        <v>454</v>
      </c>
    </row>
    <row r="31" spans="1:13" ht="15.75" customHeight="1">
      <c r="A31" s="11" t="s">
        <v>12</v>
      </c>
      <c r="B31" s="13">
        <v>953</v>
      </c>
      <c r="C31" s="13">
        <v>1002</v>
      </c>
      <c r="D31" s="13">
        <v>1075</v>
      </c>
      <c r="E31" s="13">
        <v>1282</v>
      </c>
      <c r="F31" s="13">
        <v>1430</v>
      </c>
      <c r="G31" s="39" t="s">
        <v>35</v>
      </c>
      <c r="H31" s="41">
        <f>B35/B33</f>
        <v>0.6990181181049252</v>
      </c>
      <c r="I31" s="41">
        <f t="shared" ref="I31" si="19">C35/C33</f>
        <v>0.69151279706507385</v>
      </c>
      <c r="J31" s="41">
        <f t="shared" ref="J31" si="20">D35/D33</f>
        <v>0.61033097182512241</v>
      </c>
      <c r="K31" s="41">
        <f t="shared" ref="K31" si="21">E35/E33</f>
        <v>0.52039032512591932</v>
      </c>
      <c r="L31" s="41">
        <f t="shared" ref="L31" si="22">F35/F33</f>
        <v>0.5475832847710258</v>
      </c>
      <c r="M31" s="41">
        <f>AVERAGE(H31:L31)</f>
        <v>0.61376709937841334</v>
      </c>
    </row>
    <row r="32" spans="1:13" ht="15.75" customHeight="1">
      <c r="A32" s="11" t="s">
        <v>48</v>
      </c>
      <c r="B32" s="14">
        <f>B34/B31</f>
        <v>0.15949632738719832</v>
      </c>
      <c r="C32" s="14">
        <f>C34/C31</f>
        <v>0.19361277445109781</v>
      </c>
      <c r="D32" s="14">
        <f>D34/D31</f>
        <v>0.15534883720930232</v>
      </c>
      <c r="E32" s="14">
        <f>E34/E31</f>
        <v>0.18096723868954759</v>
      </c>
      <c r="F32" s="14">
        <f>F34/F31</f>
        <v>0.16643356643356644</v>
      </c>
      <c r="G32" s="39" t="s">
        <v>38</v>
      </c>
      <c r="H32" s="41">
        <f>B37/B33</f>
        <v>0.25</v>
      </c>
      <c r="I32" s="41">
        <f t="shared" ref="I32" si="23">C37/C33</f>
        <v>0.25000054046224657</v>
      </c>
      <c r="J32" s="41">
        <f t="shared" ref="J32" si="24">D37/D33</f>
        <v>0.24999954151406723</v>
      </c>
      <c r="K32" s="41">
        <f t="shared" ref="K32" si="25">E37/E33</f>
        <v>0.24999950561717763</v>
      </c>
      <c r="L32" s="41">
        <f t="shared" ref="L32" si="26">F37/F33</f>
        <v>0.2499997518110349</v>
      </c>
      <c r="M32" s="41">
        <f>AVERAGE(H32:L32)</f>
        <v>0.24999986788090528</v>
      </c>
    </row>
    <row r="33" spans="1:13" ht="15.75" customHeight="1">
      <c r="A33" s="11" t="s">
        <v>49</v>
      </c>
      <c r="B33" s="15">
        <v>51594.8</v>
      </c>
      <c r="C33" s="15">
        <v>46256.7</v>
      </c>
      <c r="D33" s="15">
        <v>54527.3</v>
      </c>
      <c r="E33" s="15">
        <v>101136.2</v>
      </c>
      <c r="F33" s="15">
        <v>100729.7</v>
      </c>
      <c r="G33" s="39" t="s">
        <v>41</v>
      </c>
      <c r="H33" s="41">
        <f>SUM(H31:H32)</f>
        <v>0.9490181181049252</v>
      </c>
      <c r="I33" s="41">
        <f t="shared" ref="I33" si="27">SUM(I31:I32)</f>
        <v>0.94151333752732036</v>
      </c>
      <c r="J33" s="41">
        <f t="shared" ref="J33" si="28">SUM(J31:J32)</f>
        <v>0.86033051333918964</v>
      </c>
      <c r="K33" s="41">
        <f t="shared" ref="K33" si="29">SUM(K31:K32)</f>
        <v>0.77038983074309697</v>
      </c>
      <c r="L33" s="41">
        <f t="shared" ref="L33" si="30">SUM(L31:L32)</f>
        <v>0.79758303658206064</v>
      </c>
      <c r="M33" s="41">
        <f>AVERAGE(H33:L33)</f>
        <v>0.86376696725931856</v>
      </c>
    </row>
    <row r="34" spans="1:13" ht="15.75" customHeight="1">
      <c r="A34" s="11" t="s">
        <v>50</v>
      </c>
      <c r="B34" s="15">
        <v>152</v>
      </c>
      <c r="C34" s="15">
        <v>194</v>
      </c>
      <c r="D34" s="15">
        <v>167</v>
      </c>
      <c r="E34" s="15">
        <v>232</v>
      </c>
      <c r="F34" s="15">
        <v>238</v>
      </c>
      <c r="G34" s="39" t="s">
        <v>14</v>
      </c>
      <c r="H34" s="42">
        <f>SUM(B33:F33)</f>
        <v>354244.7</v>
      </c>
      <c r="I34" s="39"/>
      <c r="J34" s="39"/>
      <c r="K34" s="39"/>
      <c r="L34" s="39"/>
      <c r="M34" s="39"/>
    </row>
    <row r="35" spans="1:13" ht="15.75" customHeight="1">
      <c r="A35" s="11" t="s">
        <v>51</v>
      </c>
      <c r="B35" s="15">
        <v>36065.699999999997</v>
      </c>
      <c r="C35" s="15">
        <v>31987.1</v>
      </c>
      <c r="D35" s="15">
        <v>33279.699999999997</v>
      </c>
      <c r="E35" s="15">
        <v>52630.3</v>
      </c>
      <c r="F35" s="15">
        <v>55157.9</v>
      </c>
      <c r="G35" s="39" t="s">
        <v>456</v>
      </c>
      <c r="H35" s="44">
        <f>AVERAGE(B32:F32)</f>
        <v>0.17117174883414249</v>
      </c>
      <c r="I35" s="39"/>
      <c r="J35" s="39"/>
      <c r="K35" s="39"/>
      <c r="L35" s="39"/>
      <c r="M35" s="39"/>
    </row>
    <row r="36" spans="1:13" ht="15.75" customHeight="1">
      <c r="A36" s="11" t="s">
        <v>52</v>
      </c>
      <c r="B36" s="15">
        <f>B35/B34</f>
        <v>237.27434210526314</v>
      </c>
      <c r="C36" s="15">
        <f>C35/C34</f>
        <v>164.8819587628866</v>
      </c>
      <c r="D36" s="15">
        <f>D35/D34</f>
        <v>199.27964071856286</v>
      </c>
      <c r="E36" s="15">
        <f>E35/E34</f>
        <v>226.85474137931035</v>
      </c>
      <c r="F36" s="15">
        <f>F35/F34</f>
        <v>231.75588235294117</v>
      </c>
      <c r="G36" s="39" t="s">
        <v>457</v>
      </c>
      <c r="H36" s="42">
        <f>B33-B35-B37</f>
        <v>2630.4000000000051</v>
      </c>
      <c r="I36" s="42">
        <f t="shared" ref="I36" si="31">C33-C35-C37</f>
        <v>2705.3999999999978</v>
      </c>
      <c r="J36" s="42">
        <f t="shared" ref="J36" si="32">D33-D35-D37</f>
        <v>7615.8000000000065</v>
      </c>
      <c r="K36" s="42">
        <f t="shared" ref="K36" si="33">E33-E35-E37</f>
        <v>23221.899999999994</v>
      </c>
      <c r="L36" s="42">
        <f t="shared" ref="L36" si="34">F33-F35-F37</f>
        <v>20389.399999999994</v>
      </c>
      <c r="M36" s="42">
        <f>AVERAGE(H36:L36)</f>
        <v>11312.579999999998</v>
      </c>
    </row>
    <row r="37" spans="1:13" ht="15.75" customHeight="1">
      <c r="A37" s="11" t="s">
        <v>53</v>
      </c>
      <c r="B37" s="15">
        <v>12898.7</v>
      </c>
      <c r="C37" s="15">
        <v>11564.2</v>
      </c>
      <c r="D37" s="15">
        <v>13631.8</v>
      </c>
      <c r="E37" s="15">
        <v>25284</v>
      </c>
      <c r="F37" s="15">
        <v>25182.400000000001</v>
      </c>
      <c r="G37" s="39" t="s">
        <v>458</v>
      </c>
      <c r="H37" s="45">
        <f>1-H33</f>
        <v>5.0981881895074799E-2</v>
      </c>
      <c r="I37" s="45">
        <f t="shared" ref="I37:M37" si="35">1-I33</f>
        <v>5.848666247267964E-2</v>
      </c>
      <c r="J37" s="45">
        <f t="shared" si="35"/>
        <v>0.13966948666081036</v>
      </c>
      <c r="K37" s="45">
        <f t="shared" si="35"/>
        <v>0.22961016925690303</v>
      </c>
      <c r="L37" s="45">
        <f t="shared" si="35"/>
        <v>0.20241696341793936</v>
      </c>
      <c r="M37" s="45">
        <f t="shared" si="35"/>
        <v>0.13623303274068144</v>
      </c>
    </row>
    <row r="38" spans="1:13" ht="15.75" customHeight="1">
      <c r="A38" s="11" t="s">
        <v>468</v>
      </c>
      <c r="B38" s="46">
        <f>(F33-B33)/B33</f>
        <v>0.95232271469217811</v>
      </c>
      <c r="C38" s="15"/>
      <c r="D38" s="15"/>
      <c r="E38" s="15"/>
      <c r="F38" s="15"/>
      <c r="G38" s="39" t="s">
        <v>29</v>
      </c>
      <c r="H38" s="55">
        <f>AVERAGE(B36:F36)</f>
        <v>212.0093130637928</v>
      </c>
      <c r="I38" s="45"/>
      <c r="J38" s="45"/>
      <c r="K38" s="45"/>
      <c r="L38" s="45"/>
      <c r="M38" s="45"/>
    </row>
    <row r="39" spans="1:13" ht="15.75" customHeight="1">
      <c r="A39" s="11" t="s">
        <v>469</v>
      </c>
      <c r="B39" s="38">
        <f>(F36-B36)/B36</f>
        <v>-2.3257718063227389E-2</v>
      </c>
      <c r="C39" s="1"/>
      <c r="D39" s="10"/>
      <c r="E39" s="10"/>
      <c r="F39" s="10"/>
      <c r="G39" s="39"/>
      <c r="H39" s="39"/>
      <c r="I39" s="39"/>
      <c r="J39" s="39"/>
      <c r="K39" s="39"/>
      <c r="L39" s="39" t="s">
        <v>483</v>
      </c>
      <c r="M39" s="39">
        <f>_xlfn.STDEV.P(H33:L33)</f>
        <v>7.2696173667884265E-2</v>
      </c>
    </row>
    <row r="40" spans="1:13" ht="15.75" customHeight="1">
      <c r="A40" s="11" t="s">
        <v>482</v>
      </c>
      <c r="B40" s="54">
        <f>SUM(B33:F33)</f>
        <v>354244.7</v>
      </c>
      <c r="C40" s="1"/>
      <c r="D40" s="10"/>
      <c r="E40" s="10"/>
      <c r="F40" s="10"/>
      <c r="G40" s="39"/>
      <c r="H40" s="39"/>
      <c r="I40" s="39"/>
      <c r="J40" s="39"/>
      <c r="K40" s="39"/>
      <c r="L40" s="39" t="s">
        <v>484</v>
      </c>
      <c r="M40" s="39">
        <f>_xlfn.STDEV.P(B36:F36)</f>
        <v>26.950575186621723</v>
      </c>
    </row>
    <row r="41" spans="1:13" ht="15.75" customHeight="1">
      <c r="A41" s="11"/>
      <c r="B41" s="38"/>
      <c r="C41" s="1"/>
      <c r="D41" s="10"/>
      <c r="E41" s="10"/>
      <c r="F41" s="10"/>
      <c r="G41" s="39"/>
      <c r="H41" s="39"/>
      <c r="I41" s="39"/>
      <c r="J41" s="39"/>
      <c r="K41" s="39"/>
      <c r="L41" t="s">
        <v>485</v>
      </c>
      <c r="M41">
        <f>_xlfn.STDEV.P(B32:F32)</f>
        <v>1.4203391306026769E-2</v>
      </c>
    </row>
    <row r="42" spans="1:13" ht="17.399999999999999">
      <c r="A42" s="35" t="s">
        <v>56</v>
      </c>
      <c r="B42" s="35"/>
      <c r="C42" s="35"/>
      <c r="D42" s="10"/>
      <c r="E42" s="10"/>
      <c r="F42" s="10"/>
      <c r="G42" s="39"/>
      <c r="H42" s="39"/>
      <c r="I42" s="39"/>
      <c r="J42" s="39"/>
      <c r="K42" s="39"/>
      <c r="L42" s="39"/>
      <c r="M42" s="39"/>
    </row>
    <row r="43" spans="1:13" ht="15.75" customHeight="1">
      <c r="A43" s="11" t="s">
        <v>47</v>
      </c>
      <c r="B43" s="12">
        <v>2021</v>
      </c>
      <c r="C43" s="12">
        <v>2022</v>
      </c>
      <c r="D43" s="12">
        <v>2023</v>
      </c>
      <c r="E43" s="12">
        <v>2024</v>
      </c>
      <c r="F43" s="12">
        <v>2025</v>
      </c>
      <c r="G43" s="39"/>
      <c r="H43" s="40">
        <v>2021</v>
      </c>
      <c r="I43" s="40">
        <v>2022</v>
      </c>
      <c r="J43" s="40">
        <v>2023</v>
      </c>
      <c r="K43" s="40">
        <v>2024</v>
      </c>
      <c r="L43" s="40">
        <v>2025</v>
      </c>
      <c r="M43" s="40" t="s">
        <v>454</v>
      </c>
    </row>
    <row r="44" spans="1:13" ht="15.75" customHeight="1">
      <c r="A44" s="11" t="s">
        <v>12</v>
      </c>
      <c r="B44" s="13">
        <v>12162</v>
      </c>
      <c r="C44" s="13">
        <v>12199</v>
      </c>
      <c r="D44" s="13">
        <v>11779</v>
      </c>
      <c r="E44" s="13">
        <v>12041</v>
      </c>
      <c r="F44" s="13">
        <v>12450</v>
      </c>
      <c r="G44" s="39" t="s">
        <v>35</v>
      </c>
      <c r="H44" s="41">
        <f>B48/B46</f>
        <v>0.54508240465195668</v>
      </c>
      <c r="I44" s="41">
        <f t="shared" ref="I44" si="36">C48/C46</f>
        <v>0.55276148465478059</v>
      </c>
      <c r="J44" s="41">
        <f t="shared" ref="J44" si="37">D48/D46</f>
        <v>0.55534497617309997</v>
      </c>
      <c r="K44" s="41">
        <f t="shared" ref="K44" si="38">E48/E46</f>
        <v>0.54895378654290417</v>
      </c>
      <c r="L44" s="41">
        <f t="shared" ref="L44" si="39">F48/F46</f>
        <v>0.55467226590536411</v>
      </c>
      <c r="M44" s="41">
        <f>AVERAGE(H44:L44)</f>
        <v>0.55136298358562108</v>
      </c>
    </row>
    <row r="45" spans="1:13" ht="15.75" customHeight="1">
      <c r="A45" s="11" t="s">
        <v>48</v>
      </c>
      <c r="B45" s="14">
        <f>B47/B44</f>
        <v>0.11897714191744779</v>
      </c>
      <c r="C45" s="14">
        <f>C47/C44</f>
        <v>0.11763259283547832</v>
      </c>
      <c r="D45" s="14">
        <f>D47/D44</f>
        <v>0.12335512352491723</v>
      </c>
      <c r="E45" s="14">
        <f>E47/E44</f>
        <v>0.12374387509343078</v>
      </c>
      <c r="F45" s="14">
        <f>F47/F44</f>
        <v>0.11783132530120483</v>
      </c>
      <c r="G45" s="39" t="s">
        <v>38</v>
      </c>
      <c r="H45" s="41">
        <f>B50/B46</f>
        <v>0.21999980251659682</v>
      </c>
      <c r="I45" s="41">
        <f t="shared" ref="I45" si="40">C50/C46</f>
        <v>0.2200001043940896</v>
      </c>
      <c r="J45" s="41">
        <f t="shared" ref="J45" si="41">D50/D46</f>
        <v>0.21999998114214486</v>
      </c>
      <c r="K45" s="41">
        <f t="shared" ref="K45" si="42">E50/E46</f>
        <v>0.22000010126353883</v>
      </c>
      <c r="L45" s="41">
        <f t="shared" ref="L45" si="43">F50/F46</f>
        <v>0.21999991442834391</v>
      </c>
      <c r="M45" s="41">
        <f>AVERAGE(H45:L45)</f>
        <v>0.21999998074894284</v>
      </c>
    </row>
    <row r="46" spans="1:13" ht="15.75" customHeight="1">
      <c r="A46" s="11" t="s">
        <v>49</v>
      </c>
      <c r="B46" s="15">
        <v>212676.1</v>
      </c>
      <c r="C46" s="15">
        <v>210739.9</v>
      </c>
      <c r="D46" s="15">
        <v>212113.2</v>
      </c>
      <c r="E46" s="15">
        <v>217254.9</v>
      </c>
      <c r="F46" s="15">
        <v>186977.8</v>
      </c>
      <c r="G46" s="39" t="s">
        <v>41</v>
      </c>
      <c r="H46" s="41">
        <f>SUM(H44:H45)</f>
        <v>0.76508220716855346</v>
      </c>
      <c r="I46" s="41">
        <f t="shared" ref="I46" si="44">SUM(I44:I45)</f>
        <v>0.77276158904887016</v>
      </c>
      <c r="J46" s="41">
        <f t="shared" ref="J46" si="45">SUM(J44:J45)</f>
        <v>0.77534495731524489</v>
      </c>
      <c r="K46" s="41">
        <f t="shared" ref="K46" si="46">SUM(K44:K45)</f>
        <v>0.76895388780644303</v>
      </c>
      <c r="L46" s="41">
        <f t="shared" ref="L46" si="47">SUM(L44:L45)</f>
        <v>0.77467218033370799</v>
      </c>
      <c r="M46" s="41">
        <f>AVERAGE(H46:L46)</f>
        <v>0.77136296433456386</v>
      </c>
    </row>
    <row r="47" spans="1:13" ht="15.75" customHeight="1">
      <c r="A47" s="11" t="s">
        <v>50</v>
      </c>
      <c r="B47" s="15">
        <v>1447</v>
      </c>
      <c r="C47" s="15">
        <v>1435</v>
      </c>
      <c r="D47" s="15">
        <v>1453</v>
      </c>
      <c r="E47" s="15">
        <v>1490</v>
      </c>
      <c r="F47" s="15">
        <v>1467</v>
      </c>
      <c r="G47" s="39" t="s">
        <v>14</v>
      </c>
      <c r="H47" s="42">
        <f>SUM(B46:F46)</f>
        <v>1039761.8999999999</v>
      </c>
      <c r="I47" s="39"/>
      <c r="J47" s="39"/>
      <c r="K47" s="39"/>
      <c r="L47" s="39"/>
      <c r="M47" s="39"/>
    </row>
    <row r="48" spans="1:13" ht="15.75" customHeight="1">
      <c r="A48" s="11" t="s">
        <v>51</v>
      </c>
      <c r="B48" s="15">
        <v>115926</v>
      </c>
      <c r="C48" s="15">
        <v>116488.9</v>
      </c>
      <c r="D48" s="15">
        <v>117796</v>
      </c>
      <c r="E48" s="15">
        <v>119262.9</v>
      </c>
      <c r="F48" s="15">
        <v>103711.4</v>
      </c>
      <c r="G48" s="39" t="s">
        <v>456</v>
      </c>
      <c r="H48" s="44">
        <f>AVERAGE(B45:F45)</f>
        <v>0.12030801173449579</v>
      </c>
      <c r="I48" s="39"/>
      <c r="J48" s="39"/>
      <c r="K48" s="39"/>
      <c r="L48" s="39"/>
      <c r="M48" s="39"/>
    </row>
    <row r="49" spans="1:13" ht="15.75" customHeight="1">
      <c r="A49" s="11" t="s">
        <v>52</v>
      </c>
      <c r="B49" s="15">
        <f>B48/B47</f>
        <v>80.1147201105736</v>
      </c>
      <c r="C49" s="15">
        <f>C48/C47</f>
        <v>81.176933797909399</v>
      </c>
      <c r="D49" s="15">
        <f>D48/D47</f>
        <v>81.070887818306957</v>
      </c>
      <c r="E49" s="15">
        <f>E48/E47</f>
        <v>80.042214765100667</v>
      </c>
      <c r="F49" s="15">
        <f>F48/F47</f>
        <v>70.696250852079075</v>
      </c>
      <c r="G49" s="39" t="s">
        <v>457</v>
      </c>
      <c r="H49" s="42">
        <f>B46-B48-B50</f>
        <v>49961.400000000009</v>
      </c>
      <c r="I49" s="42">
        <f t="shared" ref="I49" si="48">C46-C48-C50</f>
        <v>47888.2</v>
      </c>
      <c r="J49" s="42">
        <f t="shared" ref="J49" si="49">D46-D48-D50</f>
        <v>47652.30000000001</v>
      </c>
      <c r="K49" s="42">
        <f t="shared" ref="K49" si="50">E46-E48-E50</f>
        <v>50195.9</v>
      </c>
      <c r="L49" s="42">
        <f t="shared" ref="L49" si="51">F46-F48-F50</f>
        <v>42131.299999999996</v>
      </c>
      <c r="M49" s="42">
        <f>AVERAGE(H49:L49)</f>
        <v>47565.82</v>
      </c>
    </row>
    <row r="50" spans="1:13" ht="15.75" customHeight="1">
      <c r="A50" s="11" t="s">
        <v>53</v>
      </c>
      <c r="B50" s="15">
        <v>46788.7</v>
      </c>
      <c r="C50" s="15">
        <v>46362.8</v>
      </c>
      <c r="D50" s="15">
        <v>46664.9</v>
      </c>
      <c r="E50" s="15">
        <v>47796.1</v>
      </c>
      <c r="F50" s="15">
        <v>41135.1</v>
      </c>
      <c r="G50" s="39" t="s">
        <v>458</v>
      </c>
      <c r="H50" s="45">
        <f>1-H46</f>
        <v>0.23491779283144654</v>
      </c>
      <c r="I50" s="45">
        <f t="shared" ref="I50:M50" si="52">1-I46</f>
        <v>0.22723841095112984</v>
      </c>
      <c r="J50" s="45">
        <f t="shared" si="52"/>
        <v>0.22465504268475511</v>
      </c>
      <c r="K50" s="45">
        <f t="shared" si="52"/>
        <v>0.23104611219355697</v>
      </c>
      <c r="L50" s="45">
        <f t="shared" si="52"/>
        <v>0.22532781966629201</v>
      </c>
      <c r="M50" s="45">
        <f t="shared" si="52"/>
        <v>0.22863703566543614</v>
      </c>
    </row>
    <row r="51" spans="1:13" ht="15.75" customHeight="1">
      <c r="A51" s="11" t="s">
        <v>468</v>
      </c>
      <c r="B51" s="46">
        <f>(F46-B46)/B46</f>
        <v>-0.1208330414183823</v>
      </c>
      <c r="C51" s="15"/>
      <c r="D51" s="15"/>
      <c r="E51" s="15"/>
      <c r="F51" s="15"/>
      <c r="G51" s="39" t="s">
        <v>29</v>
      </c>
      <c r="H51" s="55">
        <f>AVERAGE(B49:F49)</f>
        <v>78.620201468793937</v>
      </c>
      <c r="I51" s="45"/>
      <c r="J51" s="45"/>
      <c r="K51" s="45"/>
      <c r="L51" s="45"/>
      <c r="M51" s="45"/>
    </row>
    <row r="52" spans="1:13" ht="15.75" customHeight="1">
      <c r="A52" s="11" t="s">
        <v>469</v>
      </c>
      <c r="B52" s="38">
        <f>(F49-B49)/B49</f>
        <v>-0.11756228125736744</v>
      </c>
      <c r="G52" s="39"/>
      <c r="H52" s="39"/>
      <c r="I52" s="39"/>
      <c r="J52" s="39"/>
      <c r="K52" s="39"/>
      <c r="L52" s="39" t="s">
        <v>483</v>
      </c>
      <c r="M52" s="39">
        <f>_xlfn.STDEV.P(H46:L46)</f>
        <v>3.8474638403859377E-3</v>
      </c>
    </row>
    <row r="53" spans="1:13" ht="15.75" customHeight="1">
      <c r="A53" s="11" t="s">
        <v>482</v>
      </c>
      <c r="B53" s="54">
        <f>SUM(B46:F46)</f>
        <v>1039761.8999999999</v>
      </c>
      <c r="G53" s="39"/>
      <c r="H53" s="39"/>
      <c r="I53" s="39"/>
      <c r="J53" s="39"/>
      <c r="K53" s="39"/>
      <c r="L53" s="39" t="s">
        <v>484</v>
      </c>
      <c r="M53" s="39">
        <f>_xlfn.STDEV.P(B49:F49)</f>
        <v>3.9896727922993769</v>
      </c>
    </row>
    <row r="54" spans="1:13" ht="15.75" customHeight="1">
      <c r="A54" s="11"/>
      <c r="B54" s="38"/>
      <c r="G54" s="39"/>
      <c r="H54" s="39"/>
      <c r="I54" s="39"/>
      <c r="J54" s="39"/>
      <c r="K54" s="39"/>
      <c r="L54" t="s">
        <v>485</v>
      </c>
      <c r="M54">
        <f>_xlfn.STDEV.P(B45:F45)</f>
        <v>2.6889813583806836E-3</v>
      </c>
    </row>
    <row r="55" spans="1:13" ht="17.399999999999999">
      <c r="A55" s="35" t="s">
        <v>57</v>
      </c>
      <c r="B55" s="35"/>
      <c r="C55" s="35"/>
      <c r="D55" s="10"/>
      <c r="E55" s="10"/>
      <c r="F55" s="10"/>
      <c r="G55" s="39"/>
      <c r="H55" s="39"/>
      <c r="I55" s="39"/>
      <c r="J55" s="39"/>
      <c r="K55" s="39"/>
      <c r="L55" s="39"/>
      <c r="M55" s="39"/>
    </row>
    <row r="56" spans="1:13" ht="15.75" customHeight="1">
      <c r="A56" s="11" t="s">
        <v>47</v>
      </c>
      <c r="B56" s="12">
        <v>2021</v>
      </c>
      <c r="C56" s="12">
        <v>2022</v>
      </c>
      <c r="D56" s="12">
        <v>2023</v>
      </c>
      <c r="E56" s="12">
        <v>2024</v>
      </c>
      <c r="F56" s="12">
        <v>2025</v>
      </c>
      <c r="G56" s="39"/>
      <c r="H56" s="40">
        <v>2021</v>
      </c>
      <c r="I56" s="40">
        <v>2022</v>
      </c>
      <c r="J56" s="40">
        <v>2023</v>
      </c>
      <c r="K56" s="40">
        <v>2024</v>
      </c>
      <c r="L56" s="40">
        <v>2025</v>
      </c>
      <c r="M56" s="40" t="s">
        <v>454</v>
      </c>
    </row>
    <row r="57" spans="1:13" ht="15.75" customHeight="1">
      <c r="A57" s="11" t="s">
        <v>12</v>
      </c>
      <c r="B57" s="13">
        <v>8946</v>
      </c>
      <c r="C57" s="13">
        <v>9247</v>
      </c>
      <c r="D57" s="13">
        <v>9132</v>
      </c>
      <c r="E57" s="13">
        <v>9369</v>
      </c>
      <c r="F57" s="13">
        <v>9454</v>
      </c>
      <c r="G57" s="39" t="s">
        <v>35</v>
      </c>
      <c r="H57" s="41">
        <f>B61/B59</f>
        <v>0.5910103782613414</v>
      </c>
      <c r="I57" s="41">
        <f t="shared" ref="I57" si="53">C61/C59</f>
        <v>0.59923241796908888</v>
      </c>
      <c r="J57" s="41">
        <f t="shared" ref="J57" si="54">D61/D59</f>
        <v>0.60829227521739382</v>
      </c>
      <c r="K57" s="41">
        <f t="shared" ref="K57" si="55">E61/E59</f>
        <v>0.60204645283190139</v>
      </c>
      <c r="L57" s="41">
        <f t="shared" ref="L57" si="56">F61/F59</f>
        <v>0.59266867136141255</v>
      </c>
      <c r="M57" s="41">
        <f>AVERAGE(H57:L57)</f>
        <v>0.59865003912822756</v>
      </c>
    </row>
    <row r="58" spans="1:13" ht="15.75" customHeight="1">
      <c r="A58" s="11" t="s">
        <v>48</v>
      </c>
      <c r="B58" s="14">
        <f>B60/B57</f>
        <v>0.10764587525150905</v>
      </c>
      <c r="C58" s="14">
        <f>C60/C57</f>
        <v>0.11117119065642911</v>
      </c>
      <c r="D58" s="14">
        <f>D60/D57</f>
        <v>9.2203241349102058E-2</v>
      </c>
      <c r="E58" s="14">
        <f>E60/E57</f>
        <v>0.16543921443056889</v>
      </c>
      <c r="F58" s="14">
        <f>F60/F57</f>
        <v>0.14766236513645017</v>
      </c>
      <c r="G58" s="39" t="s">
        <v>38</v>
      </c>
      <c r="H58" s="41">
        <f>B63/B59</f>
        <v>0.24999982264233128</v>
      </c>
      <c r="I58" s="41">
        <f t="shared" ref="I58" si="57">C63/C59</f>
        <v>0.24999973221391608</v>
      </c>
      <c r="J58" s="41">
        <f t="shared" ref="J58" si="58">D63/D59</f>
        <v>0.2499997985042568</v>
      </c>
      <c r="K58" s="41">
        <f t="shared" ref="K58" si="59">E63/E59</f>
        <v>0.25000008405014096</v>
      </c>
      <c r="L58" s="41">
        <f t="shared" ref="L58" si="60">F63/F59</f>
        <v>0.24999991905238184</v>
      </c>
      <c r="M58" s="41">
        <f>AVERAGE(H58:L58)</f>
        <v>0.2499998712926054</v>
      </c>
    </row>
    <row r="59" spans="1:13" ht="15.75" customHeight="1">
      <c r="A59" s="11" t="s">
        <v>49</v>
      </c>
      <c r="B59" s="13">
        <v>140958.1</v>
      </c>
      <c r="C59" s="13">
        <v>186716.2</v>
      </c>
      <c r="D59" s="13">
        <v>124072.1</v>
      </c>
      <c r="E59" s="13">
        <v>297441.5</v>
      </c>
      <c r="F59" s="13">
        <v>308841.7</v>
      </c>
      <c r="G59" s="39" t="s">
        <v>41</v>
      </c>
      <c r="H59" s="41">
        <f>SUM(H57:H58)</f>
        <v>0.84101020090367262</v>
      </c>
      <c r="I59" s="41">
        <f t="shared" ref="I59" si="61">SUM(I57:I58)</f>
        <v>0.84923215018300491</v>
      </c>
      <c r="J59" s="41">
        <f t="shared" ref="J59" si="62">SUM(J57:J58)</f>
        <v>0.85829207372165062</v>
      </c>
      <c r="K59" s="41">
        <f t="shared" ref="K59" si="63">SUM(K57:K58)</f>
        <v>0.85204653688204235</v>
      </c>
      <c r="L59" s="41">
        <f t="shared" ref="L59" si="64">SUM(L57:L58)</f>
        <v>0.84266859041379438</v>
      </c>
      <c r="M59" s="41">
        <f>AVERAGE(H59:L59)</f>
        <v>0.84864991042083293</v>
      </c>
    </row>
    <row r="60" spans="1:13" ht="15.75" customHeight="1">
      <c r="A60" s="11" t="s">
        <v>50</v>
      </c>
      <c r="B60" s="13">
        <v>963</v>
      </c>
      <c r="C60" s="13">
        <v>1028</v>
      </c>
      <c r="D60" s="13">
        <v>842</v>
      </c>
      <c r="E60" s="13">
        <v>1550</v>
      </c>
      <c r="F60" s="13">
        <v>1396</v>
      </c>
      <c r="G60" s="39" t="s">
        <v>14</v>
      </c>
      <c r="H60" s="42">
        <f>SUM(B59:F59)</f>
        <v>1058029.6000000001</v>
      </c>
    </row>
    <row r="61" spans="1:13" ht="15.75" customHeight="1">
      <c r="A61" s="11" t="s">
        <v>51</v>
      </c>
      <c r="B61" s="13">
        <v>83307.7</v>
      </c>
      <c r="C61" s="13">
        <v>111886.39999999999</v>
      </c>
      <c r="D61" s="13">
        <v>75472.100000000006</v>
      </c>
      <c r="E61" s="13">
        <v>179073.6</v>
      </c>
      <c r="F61" s="13">
        <v>183040.8</v>
      </c>
      <c r="G61" s="39" t="s">
        <v>456</v>
      </c>
      <c r="H61" s="44">
        <f>AVERAGE(B58:F58)</f>
        <v>0.12482437736481185</v>
      </c>
    </row>
    <row r="62" spans="1:13" ht="15.75" customHeight="1">
      <c r="A62" s="11" t="s">
        <v>52</v>
      </c>
      <c r="B62" s="15">
        <f>B61/B60</f>
        <v>86.508515057113186</v>
      </c>
      <c r="C62" s="15">
        <f>C61/C60</f>
        <v>108.83891050583657</v>
      </c>
      <c r="D62" s="15">
        <f>D61/D60</f>
        <v>89.634323040380053</v>
      </c>
      <c r="E62" s="15">
        <f>E61/E60</f>
        <v>115.53135483870967</v>
      </c>
      <c r="F62" s="15">
        <f>F61/F60</f>
        <v>131.11805157593122</v>
      </c>
      <c r="G62" s="39" t="s">
        <v>457</v>
      </c>
      <c r="H62" s="42">
        <f>B59-B61-B63</f>
        <v>22410.900000000009</v>
      </c>
      <c r="I62" s="42">
        <f t="shared" ref="I62" si="65">C59-C61-C63</f>
        <v>28150.800000000017</v>
      </c>
      <c r="J62" s="42">
        <f t="shared" ref="J62" si="66">D59-D61-D63</f>
        <v>17582</v>
      </c>
      <c r="K62" s="42">
        <f t="shared" ref="K62" si="67">E59-E61-E63</f>
        <v>44007.5</v>
      </c>
      <c r="L62" s="42">
        <f t="shared" ref="L62" si="68">F59-F61-F63</f>
        <v>48590.500000000029</v>
      </c>
      <c r="M62" s="42">
        <f>AVERAGE(H62:L62)</f>
        <v>32148.340000000015</v>
      </c>
    </row>
    <row r="63" spans="1:13" ht="15.75" customHeight="1">
      <c r="A63" s="11" t="s">
        <v>53</v>
      </c>
      <c r="B63" s="13">
        <v>35239.5</v>
      </c>
      <c r="C63" s="13">
        <v>46679</v>
      </c>
      <c r="D63" s="13">
        <v>31018</v>
      </c>
      <c r="E63" s="13">
        <v>74360.399999999994</v>
      </c>
      <c r="F63" s="13">
        <v>77210.399999999994</v>
      </c>
      <c r="G63" s="39" t="s">
        <v>458</v>
      </c>
      <c r="H63" s="45">
        <f>1-H59</f>
        <v>0.15898979909632738</v>
      </c>
      <c r="I63" s="45">
        <f t="shared" ref="I63:M63" si="69">1-I59</f>
        <v>0.15076784981699509</v>
      </c>
      <c r="J63" s="45">
        <f t="shared" si="69"/>
        <v>0.14170792627834938</v>
      </c>
      <c r="K63" s="45">
        <f t="shared" si="69"/>
        <v>0.14795346311795765</v>
      </c>
      <c r="L63" s="45">
        <f t="shared" si="69"/>
        <v>0.15733140958620562</v>
      </c>
      <c r="M63" s="45">
        <f t="shared" si="69"/>
        <v>0.15135008957916707</v>
      </c>
    </row>
    <row r="64" spans="1:13" ht="15.75" customHeight="1">
      <c r="A64" s="11" t="s">
        <v>468</v>
      </c>
      <c r="B64" s="46">
        <f>(F59-B59)/B59</f>
        <v>1.1910177563403592</v>
      </c>
      <c r="G64" s="39" t="s">
        <v>29</v>
      </c>
      <c r="H64" s="55">
        <f>AVERAGE(B62:F62)</f>
        <v>106.32623100359415</v>
      </c>
    </row>
    <row r="65" spans="1:13" ht="15.75" customHeight="1">
      <c r="A65" s="11" t="s">
        <v>469</v>
      </c>
      <c r="B65" s="38">
        <f>(F62-B62)/B62</f>
        <v>0.515666423003177</v>
      </c>
      <c r="L65" s="39" t="s">
        <v>483</v>
      </c>
      <c r="M65" s="39">
        <f>_xlfn.STDEV.P(H59:L59)</f>
        <v>6.3085456027592753E-3</v>
      </c>
    </row>
    <row r="66" spans="1:13" ht="15.75" customHeight="1">
      <c r="A66" s="11" t="s">
        <v>482</v>
      </c>
      <c r="B66" s="54">
        <f>SUM(B59:F59)</f>
        <v>1058029.6000000001</v>
      </c>
      <c r="G66" s="39" t="s">
        <v>455</v>
      </c>
      <c r="H66" s="43">
        <f>H60+H47+H34+H21+H8</f>
        <v>3489706.6</v>
      </c>
      <c r="L66" s="39" t="s">
        <v>484</v>
      </c>
      <c r="M66" s="39">
        <f>_xlfn.STDEV.P(B62:F62)</f>
        <v>16.595444478407718</v>
      </c>
    </row>
    <row r="67" spans="1:13" ht="15.75" customHeight="1">
      <c r="G67" s="39" t="s">
        <v>459</v>
      </c>
      <c r="H67" s="43">
        <f>SUM(H62:M62)+SUM(H49:M49)+SUM(H36:M36)+SUM(H23:M23)+SUM(H10:M10)</f>
        <v>669278.76000000013</v>
      </c>
      <c r="L67" t="s">
        <v>485</v>
      </c>
      <c r="M67">
        <f>_xlfn.STDEV.P(B58:F58)</f>
        <v>2.7264583739502253E-2</v>
      </c>
    </row>
    <row r="68" spans="1:13" ht="15.75" customHeight="1">
      <c r="G68" s="39" t="s">
        <v>460</v>
      </c>
      <c r="H68" s="43">
        <f>H66-H67</f>
        <v>2820427.84</v>
      </c>
    </row>
    <row r="69" spans="1:13" ht="15.75" customHeight="1">
      <c r="G69" s="39" t="s">
        <v>478</v>
      </c>
      <c r="H69" s="54">
        <f>SUM(B61:F61)+SUM(B48:F48)+SUM(B35:F35)+SUM(B22:F22)+SUM(B9:F9)</f>
        <v>2072740.6999999997</v>
      </c>
    </row>
    <row r="70" spans="1:13" ht="15.75" customHeight="1">
      <c r="G70" s="39" t="s">
        <v>479</v>
      </c>
      <c r="H70" s="43">
        <f>H68-H69</f>
        <v>747687.14000000013</v>
      </c>
    </row>
    <row r="71" spans="1:13" ht="15.75" customHeight="1"/>
    <row r="72" spans="1:13" ht="15.75" customHeight="1">
      <c r="B72" t="s">
        <v>461</v>
      </c>
      <c r="C72" t="s">
        <v>462</v>
      </c>
      <c r="D72" t="s">
        <v>463</v>
      </c>
      <c r="E72" t="s">
        <v>464</v>
      </c>
      <c r="F72" t="s">
        <v>465</v>
      </c>
    </row>
    <row r="73" spans="1:13" ht="15.75" customHeight="1">
      <c r="A73" t="s">
        <v>35</v>
      </c>
      <c r="B73" s="41">
        <v>0.61135952402455729</v>
      </c>
      <c r="C73" s="41">
        <v>0.64856473299860729</v>
      </c>
      <c r="D73" s="41">
        <v>0.61376709937841334</v>
      </c>
      <c r="E73" s="41">
        <v>0.55136298358562108</v>
      </c>
      <c r="F73" s="41">
        <v>0.59865003912822756</v>
      </c>
    </row>
    <row r="74" spans="1:13" ht="15.75" customHeight="1">
      <c r="A74" t="s">
        <v>38</v>
      </c>
      <c r="B74" s="41">
        <v>0.24999976912952629</v>
      </c>
      <c r="C74" s="41">
        <v>0.27999975026569379</v>
      </c>
      <c r="D74" s="41">
        <v>0.24999986788090528</v>
      </c>
      <c r="E74" s="41">
        <v>0.21999998074894284</v>
      </c>
      <c r="F74" s="41">
        <v>0.2499998712926054</v>
      </c>
    </row>
    <row r="75" spans="1:13" ht="15.75" customHeight="1">
      <c r="A75" t="s">
        <v>41</v>
      </c>
      <c r="B75" s="41">
        <v>0.86135929315408366</v>
      </c>
      <c r="C75" s="41">
        <v>0.92856448326430097</v>
      </c>
      <c r="D75" s="41">
        <v>0.86376696725931856</v>
      </c>
      <c r="E75" s="41">
        <v>0.77136296433456386</v>
      </c>
      <c r="F75" s="41">
        <v>0.84864991042083293</v>
      </c>
    </row>
    <row r="76" spans="1:13" ht="15.75" customHeight="1">
      <c r="A76" t="s">
        <v>466</v>
      </c>
      <c r="B76" s="45">
        <v>0.13864070684591634</v>
      </c>
      <c r="C76" s="45">
        <v>7.1435516735699034E-2</v>
      </c>
      <c r="D76" s="45">
        <v>0.13623303274068144</v>
      </c>
      <c r="E76" s="45">
        <v>0.22863703566543614</v>
      </c>
      <c r="F76" s="45">
        <v>0.15135008957916707</v>
      </c>
    </row>
    <row r="77" spans="1:13" ht="15.75" customHeight="1"/>
    <row r="78" spans="1:13" ht="15.75" customHeight="1"/>
    <row r="79" spans="1:13" ht="15.75" customHeight="1">
      <c r="B79" t="s">
        <v>467</v>
      </c>
    </row>
    <row r="80" spans="1:13" ht="15.75" customHeight="1">
      <c r="B80" s="44">
        <v>0.11913713088152773</v>
      </c>
    </row>
    <row r="81" spans="1:22" ht="15.75" customHeight="1">
      <c r="B81" s="44">
        <v>0.14008925894908508</v>
      </c>
    </row>
    <row r="82" spans="1:22" ht="15.75" customHeight="1">
      <c r="B82" s="44">
        <v>0.17117174883414249</v>
      </c>
    </row>
    <row r="83" spans="1:22" ht="15.75" customHeight="1">
      <c r="B83" s="44">
        <v>0.12030801173449579</v>
      </c>
    </row>
    <row r="84" spans="1:22" ht="15.75" customHeight="1">
      <c r="B84" s="44">
        <v>0.12482437736481185</v>
      </c>
    </row>
    <row r="85" spans="1:22" ht="15.75" customHeight="1">
      <c r="O85" t="s">
        <v>476</v>
      </c>
      <c r="P85" t="s">
        <v>462</v>
      </c>
      <c r="Q85" t="s">
        <v>477</v>
      </c>
      <c r="R85" t="s">
        <v>464</v>
      </c>
      <c r="S85" t="s">
        <v>465</v>
      </c>
      <c r="T85" t="s">
        <v>480</v>
      </c>
    </row>
    <row r="86" spans="1:22" ht="15.75" customHeight="1">
      <c r="B86" t="s">
        <v>29</v>
      </c>
      <c r="N86" t="s">
        <v>473</v>
      </c>
      <c r="O86" s="38">
        <f>SUM(B9:F9)/SUM(B7:F7)</f>
        <v>0.6089618390796192</v>
      </c>
      <c r="P86" s="38">
        <f>SUM(B22:F22)/SUM(B20:F20)</f>
        <v>0.65188214157144575</v>
      </c>
      <c r="Q86" s="38">
        <f>SUM(B35:F35)/SUM(B33:F33)</f>
        <v>0.59032838035403201</v>
      </c>
      <c r="R86" s="38">
        <f>SUM(B48:F48)/SUM(B46:F46)</f>
        <v>0.55126582345438901</v>
      </c>
      <c r="S86" s="38">
        <f>SUM(B61:F61)/SUM(B59:F59)</f>
        <v>0.59807457182672374</v>
      </c>
      <c r="T86" s="53">
        <f>H69/H66</f>
        <v>0.59395844338317716</v>
      </c>
    </row>
    <row r="87" spans="1:22" ht="15.75" customHeight="1">
      <c r="A87" t="s">
        <v>461</v>
      </c>
      <c r="B87" s="42">
        <v>96.75536645162201</v>
      </c>
      <c r="N87" t="s">
        <v>475</v>
      </c>
      <c r="O87" s="38">
        <f>SUM(B11:F11)/SUM(B7:F7)</f>
        <v>0.24999977151338565</v>
      </c>
      <c r="P87" s="38">
        <f>SUM(B24:F24)/SUM(B20:F20)</f>
        <v>0.27999976666977777</v>
      </c>
      <c r="Q87" s="38">
        <f>SUM(B37:F37)/SUM(B33:F33)</f>
        <v>0.24999978828194183</v>
      </c>
      <c r="R87" s="38">
        <f>SUM(B50:F50)/SUM(B46:F46)</f>
        <v>0.21999998268834434</v>
      </c>
      <c r="S87" s="38">
        <f>SUM(B63:F63)/SUM(B59:F59)</f>
        <v>0.24999990548468584</v>
      </c>
      <c r="T87" s="38">
        <f>H70/H66</f>
        <v>0.21425501502046049</v>
      </c>
    </row>
    <row r="88" spans="1:22" ht="15.75" customHeight="1">
      <c r="A88" t="s">
        <v>462</v>
      </c>
      <c r="B88" s="42">
        <v>218.19537543384735</v>
      </c>
      <c r="N88" t="s">
        <v>474</v>
      </c>
      <c r="O88" s="53">
        <f>O86+O87</f>
        <v>0.85896161059300491</v>
      </c>
      <c r="P88" s="53">
        <f t="shared" ref="P88:S88" si="70">P86+P87</f>
        <v>0.93188190824122352</v>
      </c>
      <c r="Q88" s="53">
        <f t="shared" si="70"/>
        <v>0.84032816863597382</v>
      </c>
      <c r="R88" s="53">
        <f t="shared" si="70"/>
        <v>0.77126580614273332</v>
      </c>
      <c r="S88" s="53">
        <f t="shared" si="70"/>
        <v>0.84807447731140961</v>
      </c>
      <c r="T88" s="38">
        <f>H68/H66</f>
        <v>0.80821345840363767</v>
      </c>
      <c r="U88" t="s">
        <v>481</v>
      </c>
      <c r="V88">
        <f>(F63+F61+F50+F48+F37+F35+F24+F22+F11+F9)/(F7+F20+F33+F46+F59)</f>
        <v>0.84003223123634496</v>
      </c>
    </row>
    <row r="89" spans="1:22" ht="15.75" customHeight="1">
      <c r="A89" t="s">
        <v>463</v>
      </c>
      <c r="B89" s="42">
        <v>212.0093130637928</v>
      </c>
    </row>
    <row r="90" spans="1:22" ht="15.75" customHeight="1">
      <c r="A90" t="s">
        <v>464</v>
      </c>
      <c r="B90" s="42">
        <v>78.620201468793937</v>
      </c>
    </row>
    <row r="91" spans="1:22" ht="15.75" customHeight="1">
      <c r="A91" t="s">
        <v>465</v>
      </c>
      <c r="B91" s="42">
        <v>106.32623100359415</v>
      </c>
    </row>
    <row r="92" spans="1:22" ht="15.75" customHeight="1"/>
    <row r="93" spans="1:22" ht="15.75" customHeight="1"/>
    <row r="94" spans="1:22" ht="15.75" customHeight="1"/>
    <row r="95" spans="1:22" ht="15.75" customHeight="1"/>
    <row r="96" spans="1:2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4">
    <mergeCell ref="A3:B3"/>
    <mergeCell ref="A29:C29"/>
    <mergeCell ref="A42:C42"/>
    <mergeCell ref="A55:C55"/>
  </mergeCells>
  <pageMargins left="0.75" right="0.75" top="1" bottom="1" header="0.511811023622047" footer="0.511811023622047"/>
  <pageSetup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S1000"/>
  <sheetViews>
    <sheetView tabSelected="1" topLeftCell="D142" zoomScaleNormal="100" workbookViewId="0">
      <selection activeCell="E151" sqref="E151"/>
    </sheetView>
  </sheetViews>
  <sheetFormatPr defaultColWidth="12.6640625" defaultRowHeight="15" customHeight="1"/>
  <cols>
    <col min="1" max="1" width="18.88671875" bestFit="1" customWidth="1"/>
    <col min="2" max="2" width="88.44140625" bestFit="1" customWidth="1"/>
    <col min="3" max="3" width="17.77734375" bestFit="1" customWidth="1"/>
    <col min="4" max="4" width="22.33203125" bestFit="1" customWidth="1"/>
    <col min="5" max="5" width="28.6640625" bestFit="1" customWidth="1"/>
    <col min="6" max="6" width="23.21875" bestFit="1" customWidth="1"/>
    <col min="7" max="7" width="39" bestFit="1" customWidth="1"/>
    <col min="9" max="10" width="15.5546875" bestFit="1" customWidth="1"/>
    <col min="11" max="11" width="28.6640625" bestFit="1" customWidth="1"/>
    <col min="12" max="13" width="25.109375" bestFit="1" customWidth="1"/>
    <col min="14" max="14" width="15.21875" bestFit="1" customWidth="1"/>
    <col min="15" max="15" width="20.109375" bestFit="1" customWidth="1"/>
    <col min="17" max="17" width="15.21875" bestFit="1" customWidth="1"/>
    <col min="19" max="19" width="21.109375" bestFit="1" customWidth="1"/>
  </cols>
  <sheetData>
    <row r="1" spans="1:16" ht="15.75" customHeight="1">
      <c r="A1" s="8" t="s">
        <v>58</v>
      </c>
    </row>
    <row r="2" spans="1:16" ht="15.75" customHeight="1">
      <c r="A2" s="16" t="s">
        <v>59</v>
      </c>
      <c r="B2" s="16" t="s">
        <v>60</v>
      </c>
      <c r="C2" s="16" t="s">
        <v>61</v>
      </c>
      <c r="D2" s="16" t="s">
        <v>62</v>
      </c>
      <c r="E2" s="16" t="s">
        <v>63</v>
      </c>
      <c r="F2" s="16" t="s">
        <v>64</v>
      </c>
      <c r="G2" s="16" t="s">
        <v>65</v>
      </c>
    </row>
    <row r="3" spans="1:16" ht="15.75" customHeight="1">
      <c r="A3" s="17" t="s">
        <v>66</v>
      </c>
      <c r="B3" s="17" t="s">
        <v>67</v>
      </c>
      <c r="C3" s="25" t="s">
        <v>68</v>
      </c>
      <c r="D3" s="17" t="s">
        <v>69</v>
      </c>
      <c r="E3" s="17" t="s">
        <v>70</v>
      </c>
      <c r="F3" s="17" t="s">
        <v>71</v>
      </c>
      <c r="G3" s="18">
        <v>2448000</v>
      </c>
      <c r="J3" s="47" t="s">
        <v>470</v>
      </c>
      <c r="K3" t="s">
        <v>472</v>
      </c>
      <c r="M3" s="47" t="s">
        <v>470</v>
      </c>
      <c r="N3" t="s">
        <v>472</v>
      </c>
    </row>
    <row r="4" spans="1:16" ht="15.75" customHeight="1">
      <c r="A4" s="17" t="s">
        <v>72</v>
      </c>
      <c r="B4" s="17" t="s">
        <v>73</v>
      </c>
      <c r="C4" s="25" t="s">
        <v>74</v>
      </c>
      <c r="D4" s="17" t="s">
        <v>75</v>
      </c>
      <c r="E4" s="17" t="s">
        <v>76</v>
      </c>
      <c r="F4" s="17" t="s">
        <v>77</v>
      </c>
      <c r="G4" s="18">
        <v>260000</v>
      </c>
      <c r="J4" s="48" t="s">
        <v>77</v>
      </c>
      <c r="K4" s="49">
        <v>283177000</v>
      </c>
      <c r="M4" s="48" t="s">
        <v>70</v>
      </c>
      <c r="N4" s="49">
        <v>72598000</v>
      </c>
    </row>
    <row r="5" spans="1:16" ht="15.75" customHeight="1">
      <c r="A5" s="17" t="s">
        <v>78</v>
      </c>
      <c r="B5" s="17" t="s">
        <v>79</v>
      </c>
      <c r="C5" s="25">
        <v>45966</v>
      </c>
      <c r="D5" s="17" t="s">
        <v>75</v>
      </c>
      <c r="E5" s="17" t="s">
        <v>80</v>
      </c>
      <c r="F5" s="17" t="s">
        <v>77</v>
      </c>
      <c r="G5" s="18">
        <v>7005000</v>
      </c>
      <c r="J5" s="50" t="s">
        <v>70</v>
      </c>
      <c r="K5" s="49">
        <v>40991000</v>
      </c>
      <c r="M5" s="48" t="s">
        <v>111</v>
      </c>
      <c r="N5" s="49">
        <v>179116000</v>
      </c>
      <c r="P5" s="52">
        <v>283177000</v>
      </c>
    </row>
    <row r="6" spans="1:16" ht="15.75" customHeight="1">
      <c r="A6" s="17" t="s">
        <v>81</v>
      </c>
      <c r="B6" s="17" t="s">
        <v>82</v>
      </c>
      <c r="C6" s="25">
        <v>45025</v>
      </c>
      <c r="D6" s="17" t="s">
        <v>75</v>
      </c>
      <c r="E6" s="17" t="s">
        <v>80</v>
      </c>
      <c r="F6" s="17" t="s">
        <v>71</v>
      </c>
      <c r="G6" s="18">
        <v>2850000</v>
      </c>
      <c r="J6" s="50" t="s">
        <v>111</v>
      </c>
      <c r="K6" s="49">
        <v>120400000</v>
      </c>
      <c r="M6" s="48" t="s">
        <v>93</v>
      </c>
      <c r="N6" s="49">
        <v>62415000</v>
      </c>
      <c r="P6" s="52">
        <v>162893000</v>
      </c>
    </row>
    <row r="7" spans="1:16" ht="15.75" customHeight="1">
      <c r="A7" s="17" t="s">
        <v>83</v>
      </c>
      <c r="B7" s="17" t="s">
        <v>84</v>
      </c>
      <c r="C7" s="25" t="s">
        <v>85</v>
      </c>
      <c r="D7" s="17" t="s">
        <v>86</v>
      </c>
      <c r="E7" s="17" t="s">
        <v>76</v>
      </c>
      <c r="F7" s="17" t="s">
        <v>71</v>
      </c>
      <c r="G7" s="18">
        <v>159000</v>
      </c>
      <c r="J7" s="50" t="s">
        <v>93</v>
      </c>
      <c r="K7" s="49">
        <v>33689000</v>
      </c>
      <c r="M7" s="48" t="s">
        <v>76</v>
      </c>
      <c r="N7" s="49">
        <v>5463000</v>
      </c>
    </row>
    <row r="8" spans="1:16" ht="15.75" customHeight="1">
      <c r="A8" s="17" t="s">
        <v>87</v>
      </c>
      <c r="B8" s="17" t="s">
        <v>88</v>
      </c>
      <c r="C8" s="25" t="s">
        <v>89</v>
      </c>
      <c r="D8" s="17" t="s">
        <v>69</v>
      </c>
      <c r="E8" s="17" t="s">
        <v>70</v>
      </c>
      <c r="F8" s="17" t="s">
        <v>77</v>
      </c>
      <c r="G8" s="18">
        <v>4477000</v>
      </c>
      <c r="J8" s="50" t="s">
        <v>76</v>
      </c>
      <c r="K8" s="49">
        <v>2269000</v>
      </c>
      <c r="M8" s="48" t="s">
        <v>97</v>
      </c>
      <c r="N8" s="49">
        <v>11120000</v>
      </c>
      <c r="P8" s="38">
        <f>(P6-P5)/P5</f>
        <v>-0.42476613566779786</v>
      </c>
    </row>
    <row r="9" spans="1:16" ht="15.75" customHeight="1">
      <c r="A9" s="17" t="s">
        <v>90</v>
      </c>
      <c r="B9" s="17" t="s">
        <v>91</v>
      </c>
      <c r="C9" s="25" t="s">
        <v>92</v>
      </c>
      <c r="D9" s="17" t="s">
        <v>69</v>
      </c>
      <c r="E9" s="17" t="s">
        <v>93</v>
      </c>
      <c r="F9" s="17" t="s">
        <v>77</v>
      </c>
      <c r="G9" s="18">
        <v>4779000</v>
      </c>
      <c r="J9" s="50" t="s">
        <v>97</v>
      </c>
      <c r="K9" s="49">
        <v>9620000</v>
      </c>
      <c r="M9" s="48" t="s">
        <v>80</v>
      </c>
      <c r="N9" s="49">
        <v>115358000</v>
      </c>
    </row>
    <row r="10" spans="1:16" ht="15.75" customHeight="1">
      <c r="A10" s="17" t="s">
        <v>94</v>
      </c>
      <c r="B10" s="17" t="s">
        <v>95</v>
      </c>
      <c r="C10" s="25">
        <v>45485</v>
      </c>
      <c r="D10" s="17" t="s">
        <v>96</v>
      </c>
      <c r="E10" s="17" t="s">
        <v>97</v>
      </c>
      <c r="F10" s="17" t="s">
        <v>77</v>
      </c>
      <c r="G10" s="18">
        <v>800000</v>
      </c>
      <c r="J10" s="50" t="s">
        <v>80</v>
      </c>
      <c r="K10" s="49">
        <v>76208000</v>
      </c>
      <c r="M10" s="48" t="s">
        <v>471</v>
      </c>
      <c r="N10" s="49">
        <v>446070000</v>
      </c>
    </row>
    <row r="11" spans="1:16" ht="15.75" customHeight="1">
      <c r="A11" s="17" t="s">
        <v>98</v>
      </c>
      <c r="B11" s="17" t="s">
        <v>99</v>
      </c>
      <c r="C11" s="25">
        <v>45390</v>
      </c>
      <c r="D11" s="17" t="s">
        <v>96</v>
      </c>
      <c r="E11" s="17" t="s">
        <v>76</v>
      </c>
      <c r="F11" s="17" t="s">
        <v>71</v>
      </c>
      <c r="G11" s="18">
        <v>108000</v>
      </c>
      <c r="J11" s="48" t="s">
        <v>71</v>
      </c>
      <c r="K11" s="49">
        <v>162893000</v>
      </c>
    </row>
    <row r="12" spans="1:16" ht="15.75" customHeight="1">
      <c r="A12" s="17" t="s">
        <v>100</v>
      </c>
      <c r="B12" s="17" t="s">
        <v>101</v>
      </c>
      <c r="C12" s="25" t="s">
        <v>102</v>
      </c>
      <c r="D12" s="17" t="s">
        <v>96</v>
      </c>
      <c r="E12" s="17" t="s">
        <v>97</v>
      </c>
      <c r="F12" s="17" t="s">
        <v>77</v>
      </c>
      <c r="G12" s="18">
        <v>781000</v>
      </c>
      <c r="J12" s="50" t="s">
        <v>70</v>
      </c>
      <c r="K12" s="49">
        <v>31607000</v>
      </c>
    </row>
    <row r="13" spans="1:16" ht="15.75" customHeight="1">
      <c r="A13" s="17" t="s">
        <v>103</v>
      </c>
      <c r="B13" s="17" t="s">
        <v>104</v>
      </c>
      <c r="C13" s="25">
        <v>45017</v>
      </c>
      <c r="D13" s="17" t="s">
        <v>75</v>
      </c>
      <c r="E13" s="17" t="s">
        <v>80</v>
      </c>
      <c r="F13" s="17" t="s">
        <v>77</v>
      </c>
      <c r="G13" s="18">
        <v>3845000</v>
      </c>
      <c r="J13" s="50" t="s">
        <v>111</v>
      </c>
      <c r="K13" s="49">
        <v>58716000</v>
      </c>
      <c r="M13" s="47" t="s">
        <v>470</v>
      </c>
      <c r="N13" t="s">
        <v>472</v>
      </c>
    </row>
    <row r="14" spans="1:16" ht="15.75" customHeight="1">
      <c r="A14" s="17" t="s">
        <v>105</v>
      </c>
      <c r="B14" s="17" t="s">
        <v>106</v>
      </c>
      <c r="C14" s="25">
        <v>45752</v>
      </c>
      <c r="D14" s="17" t="s">
        <v>75</v>
      </c>
      <c r="E14" s="17" t="s">
        <v>80</v>
      </c>
      <c r="F14" s="17" t="s">
        <v>77</v>
      </c>
      <c r="G14" s="18">
        <v>2169000</v>
      </c>
      <c r="J14" s="50" t="s">
        <v>93</v>
      </c>
      <c r="K14" s="49">
        <v>28726000</v>
      </c>
      <c r="M14" s="48" t="s">
        <v>86</v>
      </c>
      <c r="N14" s="49">
        <v>58593000</v>
      </c>
    </row>
    <row r="15" spans="1:16" ht="15.75" customHeight="1">
      <c r="A15" s="17" t="s">
        <v>107</v>
      </c>
      <c r="B15" s="17" t="s">
        <v>108</v>
      </c>
      <c r="C15" s="25" t="s">
        <v>109</v>
      </c>
      <c r="D15" s="17" t="s">
        <v>110</v>
      </c>
      <c r="E15" s="17" t="s">
        <v>111</v>
      </c>
      <c r="F15" s="17" t="s">
        <v>71</v>
      </c>
      <c r="G15" s="18">
        <v>12887000</v>
      </c>
      <c r="J15" s="50" t="s">
        <v>76</v>
      </c>
      <c r="K15" s="49">
        <v>3194000</v>
      </c>
      <c r="M15" s="48" t="s">
        <v>69</v>
      </c>
      <c r="N15" s="49">
        <v>49995000</v>
      </c>
    </row>
    <row r="16" spans="1:16" ht="15.75" customHeight="1">
      <c r="A16" s="17" t="s">
        <v>112</v>
      </c>
      <c r="B16" s="17" t="s">
        <v>113</v>
      </c>
      <c r="C16" s="25" t="s">
        <v>114</v>
      </c>
      <c r="D16" s="17" t="s">
        <v>110</v>
      </c>
      <c r="E16" s="17" t="s">
        <v>97</v>
      </c>
      <c r="F16" s="17" t="s">
        <v>77</v>
      </c>
      <c r="G16" s="18">
        <v>652000</v>
      </c>
      <c r="J16" s="50" t="s">
        <v>97</v>
      </c>
      <c r="K16" s="49">
        <v>1500000</v>
      </c>
      <c r="M16" s="48" t="s">
        <v>75</v>
      </c>
      <c r="N16" s="49">
        <v>102220000</v>
      </c>
    </row>
    <row r="17" spans="1:14" ht="15.75" customHeight="1">
      <c r="A17" s="17" t="s">
        <v>115</v>
      </c>
      <c r="B17" s="17" t="s">
        <v>116</v>
      </c>
      <c r="C17" s="25">
        <v>45997</v>
      </c>
      <c r="D17" s="17" t="s">
        <v>117</v>
      </c>
      <c r="E17" s="17" t="s">
        <v>76</v>
      </c>
      <c r="F17" s="17" t="s">
        <v>71</v>
      </c>
      <c r="G17" s="18">
        <v>194000</v>
      </c>
      <c r="J17" s="50" t="s">
        <v>80</v>
      </c>
      <c r="K17" s="49">
        <v>39150000</v>
      </c>
      <c r="M17" s="48" t="s">
        <v>123</v>
      </c>
      <c r="N17" s="49">
        <v>57213000</v>
      </c>
    </row>
    <row r="18" spans="1:14" ht="15.75" customHeight="1">
      <c r="A18" s="17" t="s">
        <v>118</v>
      </c>
      <c r="B18" s="17" t="s">
        <v>119</v>
      </c>
      <c r="C18" s="25">
        <v>45337</v>
      </c>
      <c r="D18" s="17" t="s">
        <v>110</v>
      </c>
      <c r="E18" s="17" t="s">
        <v>93</v>
      </c>
      <c r="F18" s="17" t="s">
        <v>71</v>
      </c>
      <c r="G18" s="18">
        <v>4698000</v>
      </c>
      <c r="J18" s="48" t="s">
        <v>471</v>
      </c>
      <c r="K18" s="49">
        <v>446070000</v>
      </c>
      <c r="M18" s="48" t="s">
        <v>117</v>
      </c>
      <c r="N18" s="49">
        <v>27810000</v>
      </c>
    </row>
    <row r="19" spans="1:14" ht="15.75" customHeight="1">
      <c r="A19" s="17" t="s">
        <v>120</v>
      </c>
      <c r="B19" s="17" t="s">
        <v>121</v>
      </c>
      <c r="C19" s="25" t="s">
        <v>122</v>
      </c>
      <c r="D19" s="17" t="s">
        <v>123</v>
      </c>
      <c r="E19" s="17" t="s">
        <v>70</v>
      </c>
      <c r="F19" s="17" t="s">
        <v>77</v>
      </c>
      <c r="G19" s="18">
        <v>3322000</v>
      </c>
      <c r="M19" s="48" t="s">
        <v>96</v>
      </c>
      <c r="N19" s="49">
        <v>23811000</v>
      </c>
    </row>
    <row r="20" spans="1:14" ht="15.75" customHeight="1">
      <c r="A20" s="17" t="s">
        <v>124</v>
      </c>
      <c r="B20" s="17" t="s">
        <v>125</v>
      </c>
      <c r="C20" s="25" t="s">
        <v>126</v>
      </c>
      <c r="D20" s="17" t="s">
        <v>117</v>
      </c>
      <c r="E20" s="17" t="s">
        <v>80</v>
      </c>
      <c r="F20" s="17" t="s">
        <v>77</v>
      </c>
      <c r="G20" s="18">
        <v>5342000</v>
      </c>
      <c r="J20" s="47" t="s">
        <v>470</v>
      </c>
      <c r="K20" t="s">
        <v>472</v>
      </c>
      <c r="M20" s="48" t="s">
        <v>110</v>
      </c>
      <c r="N20" s="49">
        <v>126428000</v>
      </c>
    </row>
    <row r="21" spans="1:14" ht="15.75" customHeight="1">
      <c r="A21" s="17" t="s">
        <v>127</v>
      </c>
      <c r="B21" s="17" t="s">
        <v>128</v>
      </c>
      <c r="C21" s="25">
        <v>45261</v>
      </c>
      <c r="D21" s="17" t="s">
        <v>75</v>
      </c>
      <c r="E21" s="17" t="s">
        <v>111</v>
      </c>
      <c r="F21" s="17" t="s">
        <v>77</v>
      </c>
      <c r="G21" s="18">
        <v>31173000</v>
      </c>
      <c r="J21" s="48" t="s">
        <v>77</v>
      </c>
      <c r="K21" s="49">
        <v>283177000</v>
      </c>
      <c r="M21" s="48" t="s">
        <v>471</v>
      </c>
      <c r="N21" s="49">
        <v>446070000</v>
      </c>
    </row>
    <row r="22" spans="1:14" ht="15.75" customHeight="1">
      <c r="A22" s="17" t="s">
        <v>129</v>
      </c>
      <c r="B22" s="17" t="s">
        <v>130</v>
      </c>
      <c r="C22" s="25" t="s">
        <v>131</v>
      </c>
      <c r="D22" s="17" t="s">
        <v>110</v>
      </c>
      <c r="E22" s="17" t="s">
        <v>76</v>
      </c>
      <c r="F22" s="17" t="s">
        <v>77</v>
      </c>
      <c r="G22" s="18">
        <v>95000</v>
      </c>
      <c r="J22" s="50" t="s">
        <v>86</v>
      </c>
      <c r="K22" s="49">
        <v>36351000</v>
      </c>
    </row>
    <row r="23" spans="1:14" ht="15.75" customHeight="1">
      <c r="A23" s="17" t="s">
        <v>132</v>
      </c>
      <c r="B23" s="17" t="s">
        <v>133</v>
      </c>
      <c r="C23" s="25" t="s">
        <v>134</v>
      </c>
      <c r="D23" s="17" t="s">
        <v>96</v>
      </c>
      <c r="E23" s="17" t="s">
        <v>93</v>
      </c>
      <c r="F23" s="17" t="s">
        <v>71</v>
      </c>
      <c r="G23" s="18">
        <v>2067000</v>
      </c>
      <c r="J23" s="51" t="s">
        <v>70</v>
      </c>
      <c r="K23" s="49">
        <v>1900000</v>
      </c>
    </row>
    <row r="24" spans="1:14" ht="15.75" customHeight="1">
      <c r="A24" s="17" t="s">
        <v>135</v>
      </c>
      <c r="B24" s="17" t="s">
        <v>136</v>
      </c>
      <c r="C24" s="25">
        <v>44621</v>
      </c>
      <c r="D24" s="17" t="s">
        <v>86</v>
      </c>
      <c r="E24" s="17" t="s">
        <v>80</v>
      </c>
      <c r="F24" s="17" t="s">
        <v>71</v>
      </c>
      <c r="G24" s="18">
        <v>2802000</v>
      </c>
      <c r="J24" s="51" t="s">
        <v>111</v>
      </c>
      <c r="K24" s="49">
        <v>23105000</v>
      </c>
    </row>
    <row r="25" spans="1:14" ht="15.75" customHeight="1">
      <c r="A25" s="17" t="s">
        <v>137</v>
      </c>
      <c r="B25" s="17" t="s">
        <v>138</v>
      </c>
      <c r="C25" s="25" t="s">
        <v>139</v>
      </c>
      <c r="D25" s="17" t="s">
        <v>96</v>
      </c>
      <c r="E25" s="17" t="s">
        <v>80</v>
      </c>
      <c r="F25" s="17" t="s">
        <v>77</v>
      </c>
      <c r="G25" s="18">
        <v>5299000</v>
      </c>
      <c r="J25" s="51" t="s">
        <v>93</v>
      </c>
      <c r="K25" s="49">
        <v>6489000</v>
      </c>
    </row>
    <row r="26" spans="1:14" ht="15.75" customHeight="1">
      <c r="A26" s="17" t="s">
        <v>140</v>
      </c>
      <c r="B26" s="17" t="s">
        <v>141</v>
      </c>
      <c r="C26" s="25">
        <v>45390</v>
      </c>
      <c r="D26" s="17" t="s">
        <v>110</v>
      </c>
      <c r="E26" s="17" t="s">
        <v>70</v>
      </c>
      <c r="F26" s="17" t="s">
        <v>77</v>
      </c>
      <c r="G26" s="18">
        <v>3505000</v>
      </c>
      <c r="J26" s="51" t="s">
        <v>80</v>
      </c>
      <c r="K26" s="49">
        <v>4857000</v>
      </c>
    </row>
    <row r="27" spans="1:14" ht="15.75" customHeight="1">
      <c r="A27" s="17" t="s">
        <v>142</v>
      </c>
      <c r="B27" s="17" t="s">
        <v>143</v>
      </c>
      <c r="C27" s="25">
        <v>45512</v>
      </c>
      <c r="D27" s="17" t="s">
        <v>123</v>
      </c>
      <c r="E27" s="17" t="s">
        <v>97</v>
      </c>
      <c r="F27" s="17" t="s">
        <v>71</v>
      </c>
      <c r="G27" s="18">
        <v>298000</v>
      </c>
      <c r="J27" s="50" t="s">
        <v>69</v>
      </c>
      <c r="K27" s="49">
        <v>28965000</v>
      </c>
    </row>
    <row r="28" spans="1:14" ht="15.75" customHeight="1">
      <c r="A28" s="17" t="s">
        <v>144</v>
      </c>
      <c r="B28" s="17" t="s">
        <v>145</v>
      </c>
      <c r="C28" s="25" t="s">
        <v>146</v>
      </c>
      <c r="D28" s="17" t="s">
        <v>117</v>
      </c>
      <c r="E28" s="17" t="s">
        <v>76</v>
      </c>
      <c r="F28" s="17" t="s">
        <v>71</v>
      </c>
      <c r="G28" s="18">
        <v>104000</v>
      </c>
      <c r="J28" s="51" t="s">
        <v>70</v>
      </c>
      <c r="K28" s="49">
        <v>9029000</v>
      </c>
    </row>
    <row r="29" spans="1:14" ht="15.75" customHeight="1">
      <c r="A29" s="17" t="s">
        <v>147</v>
      </c>
      <c r="B29" s="17" t="s">
        <v>148</v>
      </c>
      <c r="C29" s="25" t="s">
        <v>149</v>
      </c>
      <c r="D29" s="17" t="s">
        <v>96</v>
      </c>
      <c r="E29" s="17" t="s">
        <v>97</v>
      </c>
      <c r="F29" s="17" t="s">
        <v>71</v>
      </c>
      <c r="G29" s="18">
        <v>214000</v>
      </c>
      <c r="J29" s="51" t="s">
        <v>93</v>
      </c>
      <c r="K29" s="49">
        <v>18746000</v>
      </c>
    </row>
    <row r="30" spans="1:14" ht="15.75" customHeight="1">
      <c r="A30" s="17" t="s">
        <v>150</v>
      </c>
      <c r="B30" s="17" t="s">
        <v>151</v>
      </c>
      <c r="C30" s="25">
        <v>44563</v>
      </c>
      <c r="D30" s="17" t="s">
        <v>96</v>
      </c>
      <c r="E30" s="17" t="s">
        <v>97</v>
      </c>
      <c r="F30" s="17" t="s">
        <v>77</v>
      </c>
      <c r="G30" s="18">
        <v>618000</v>
      </c>
      <c r="J30" s="51" t="s">
        <v>97</v>
      </c>
      <c r="K30" s="49">
        <v>1190000</v>
      </c>
    </row>
    <row r="31" spans="1:14" ht="15.75" customHeight="1">
      <c r="A31" s="17" t="s">
        <v>152</v>
      </c>
      <c r="B31" s="17" t="s">
        <v>153</v>
      </c>
      <c r="C31" s="25">
        <v>45569</v>
      </c>
      <c r="D31" s="17" t="s">
        <v>117</v>
      </c>
      <c r="E31" s="17" t="s">
        <v>80</v>
      </c>
      <c r="F31" s="17" t="s">
        <v>71</v>
      </c>
      <c r="G31" s="18">
        <v>4522000</v>
      </c>
      <c r="J31" s="50" t="s">
        <v>75</v>
      </c>
      <c r="K31" s="49">
        <v>91081000</v>
      </c>
    </row>
    <row r="32" spans="1:14" ht="15.75" customHeight="1">
      <c r="A32" s="17" t="s">
        <v>154</v>
      </c>
      <c r="B32" s="17" t="s">
        <v>155</v>
      </c>
      <c r="C32" s="25" t="s">
        <v>156</v>
      </c>
      <c r="D32" s="17" t="s">
        <v>117</v>
      </c>
      <c r="E32" s="17" t="s">
        <v>76</v>
      </c>
      <c r="F32" s="17" t="s">
        <v>77</v>
      </c>
      <c r="G32" s="18">
        <v>183000</v>
      </c>
      <c r="J32" s="51" t="s">
        <v>70</v>
      </c>
      <c r="K32" s="49">
        <v>4482000</v>
      </c>
    </row>
    <row r="33" spans="1:11" ht="15.75" customHeight="1">
      <c r="A33" s="17" t="s">
        <v>157</v>
      </c>
      <c r="B33" s="17" t="s">
        <v>158</v>
      </c>
      <c r="C33" s="25" t="s">
        <v>159</v>
      </c>
      <c r="D33" s="17" t="s">
        <v>69</v>
      </c>
      <c r="E33" s="17" t="s">
        <v>80</v>
      </c>
      <c r="F33" s="17" t="s">
        <v>71</v>
      </c>
      <c r="G33" s="18">
        <v>3554000</v>
      </c>
      <c r="J33" s="51" t="s">
        <v>111</v>
      </c>
      <c r="K33" s="49">
        <v>67128000</v>
      </c>
    </row>
    <row r="34" spans="1:11" ht="15.75" customHeight="1">
      <c r="A34" s="17" t="s">
        <v>160</v>
      </c>
      <c r="B34" s="17" t="s">
        <v>161</v>
      </c>
      <c r="C34" s="25">
        <v>45409</v>
      </c>
      <c r="D34" s="17" t="s">
        <v>69</v>
      </c>
      <c r="E34" s="17" t="s">
        <v>93</v>
      </c>
      <c r="F34" s="17" t="s">
        <v>77</v>
      </c>
      <c r="G34" s="18">
        <v>4375000</v>
      </c>
      <c r="J34" s="51" t="s">
        <v>76</v>
      </c>
      <c r="K34" s="49">
        <v>549000</v>
      </c>
    </row>
    <row r="35" spans="1:11" ht="15.75" customHeight="1">
      <c r="A35" s="17" t="s">
        <v>162</v>
      </c>
      <c r="B35" s="17" t="s">
        <v>163</v>
      </c>
      <c r="C35" s="25">
        <v>46002</v>
      </c>
      <c r="D35" s="17" t="s">
        <v>96</v>
      </c>
      <c r="E35" s="17" t="s">
        <v>97</v>
      </c>
      <c r="F35" s="17" t="s">
        <v>77</v>
      </c>
      <c r="G35" s="18">
        <v>675000</v>
      </c>
      <c r="J35" s="51" t="s">
        <v>80</v>
      </c>
      <c r="K35" s="49">
        <v>18922000</v>
      </c>
    </row>
    <row r="36" spans="1:11" ht="15.75" customHeight="1">
      <c r="A36" s="17" t="s">
        <v>164</v>
      </c>
      <c r="B36" s="17" t="s">
        <v>165</v>
      </c>
      <c r="C36" s="25" t="s">
        <v>166</v>
      </c>
      <c r="D36" s="17" t="s">
        <v>123</v>
      </c>
      <c r="E36" s="17" t="s">
        <v>70</v>
      </c>
      <c r="F36" s="17" t="s">
        <v>71</v>
      </c>
      <c r="G36" s="18">
        <v>3133000</v>
      </c>
      <c r="J36" s="50" t="s">
        <v>123</v>
      </c>
      <c r="K36" s="49">
        <v>34830000</v>
      </c>
    </row>
    <row r="37" spans="1:11" ht="15.75" customHeight="1">
      <c r="A37" s="17" t="s">
        <v>167</v>
      </c>
      <c r="B37" s="17" t="s">
        <v>168</v>
      </c>
      <c r="C37" s="25">
        <v>45696</v>
      </c>
      <c r="D37" s="17" t="s">
        <v>110</v>
      </c>
      <c r="E37" s="17" t="s">
        <v>111</v>
      </c>
      <c r="F37" s="17" t="s">
        <v>77</v>
      </c>
      <c r="G37" s="18">
        <v>30167000</v>
      </c>
      <c r="J37" s="51" t="s">
        <v>70</v>
      </c>
      <c r="K37" s="49">
        <v>22075000</v>
      </c>
    </row>
    <row r="38" spans="1:11" ht="15.75" customHeight="1">
      <c r="A38" s="17" t="s">
        <v>169</v>
      </c>
      <c r="B38" s="17" t="s">
        <v>170</v>
      </c>
      <c r="C38" s="25">
        <v>45631</v>
      </c>
      <c r="D38" s="17" t="s">
        <v>110</v>
      </c>
      <c r="E38" s="17" t="s">
        <v>80</v>
      </c>
      <c r="F38" s="17" t="s">
        <v>77</v>
      </c>
      <c r="G38" s="18">
        <v>5134000</v>
      </c>
      <c r="J38" s="51" t="s">
        <v>97</v>
      </c>
      <c r="K38" s="49">
        <v>811000</v>
      </c>
    </row>
    <row r="39" spans="1:11" ht="15.75" customHeight="1">
      <c r="A39" s="17" t="s">
        <v>171</v>
      </c>
      <c r="B39" s="17" t="s">
        <v>172</v>
      </c>
      <c r="C39" s="25">
        <v>44683</v>
      </c>
      <c r="D39" s="17" t="s">
        <v>86</v>
      </c>
      <c r="E39" s="17" t="s">
        <v>111</v>
      </c>
      <c r="F39" s="17" t="s">
        <v>77</v>
      </c>
      <c r="G39" s="18">
        <v>23105000</v>
      </c>
      <c r="J39" s="51" t="s">
        <v>80</v>
      </c>
      <c r="K39" s="49">
        <v>11944000</v>
      </c>
    </row>
    <row r="40" spans="1:11" ht="15.75" customHeight="1">
      <c r="A40" s="17" t="s">
        <v>173</v>
      </c>
      <c r="B40" s="17" t="s">
        <v>174</v>
      </c>
      <c r="C40" s="25" t="s">
        <v>175</v>
      </c>
      <c r="D40" s="17" t="s">
        <v>86</v>
      </c>
      <c r="E40" s="17" t="s">
        <v>93</v>
      </c>
      <c r="F40" s="17" t="s">
        <v>71</v>
      </c>
      <c r="G40" s="18">
        <v>2264000</v>
      </c>
      <c r="J40" s="50" t="s">
        <v>117</v>
      </c>
      <c r="K40" s="49">
        <v>22160000</v>
      </c>
    </row>
    <row r="41" spans="1:11" ht="15.75" customHeight="1">
      <c r="A41" s="17" t="s">
        <v>176</v>
      </c>
      <c r="B41" s="17" t="s">
        <v>177</v>
      </c>
      <c r="C41" s="25">
        <v>45171</v>
      </c>
      <c r="D41" s="17" t="s">
        <v>96</v>
      </c>
      <c r="E41" s="17" t="s">
        <v>76</v>
      </c>
      <c r="F41" s="17" t="s">
        <v>71</v>
      </c>
      <c r="G41" s="18">
        <v>205000</v>
      </c>
      <c r="J41" s="51" t="s">
        <v>93</v>
      </c>
      <c r="K41" s="49">
        <v>8454000</v>
      </c>
    </row>
    <row r="42" spans="1:11" ht="15.75" customHeight="1">
      <c r="A42" s="17" t="s">
        <v>178</v>
      </c>
      <c r="B42" s="17" t="s">
        <v>179</v>
      </c>
      <c r="C42" s="25" t="s">
        <v>180</v>
      </c>
      <c r="D42" s="17" t="s">
        <v>110</v>
      </c>
      <c r="E42" s="17" t="s">
        <v>80</v>
      </c>
      <c r="F42" s="17" t="s">
        <v>77</v>
      </c>
      <c r="G42" s="18">
        <v>4953000</v>
      </c>
      <c r="J42" s="51" t="s">
        <v>76</v>
      </c>
      <c r="K42" s="49">
        <v>1282000</v>
      </c>
    </row>
    <row r="43" spans="1:11" ht="15.75" customHeight="1">
      <c r="A43" s="17" t="s">
        <v>181</v>
      </c>
      <c r="B43" s="17" t="s">
        <v>182</v>
      </c>
      <c r="C43" s="25" t="s">
        <v>183</v>
      </c>
      <c r="D43" s="17" t="s">
        <v>86</v>
      </c>
      <c r="E43" s="17" t="s">
        <v>93</v>
      </c>
      <c r="F43" s="17" t="s">
        <v>77</v>
      </c>
      <c r="G43" s="18">
        <v>3416000</v>
      </c>
      <c r="J43" s="51" t="s">
        <v>97</v>
      </c>
      <c r="K43" s="49">
        <v>1456000</v>
      </c>
    </row>
    <row r="44" spans="1:11" ht="15.75" customHeight="1">
      <c r="A44" s="17" t="s">
        <v>184</v>
      </c>
      <c r="B44" s="17" t="s">
        <v>185</v>
      </c>
      <c r="C44" s="25">
        <v>45354</v>
      </c>
      <c r="D44" s="17" t="s">
        <v>123</v>
      </c>
      <c r="E44" s="17" t="s">
        <v>70</v>
      </c>
      <c r="F44" s="17" t="s">
        <v>71</v>
      </c>
      <c r="G44" s="18">
        <v>3515000</v>
      </c>
      <c r="J44" s="51" t="s">
        <v>80</v>
      </c>
      <c r="K44" s="49">
        <v>10968000</v>
      </c>
    </row>
    <row r="45" spans="1:11" ht="15.75" customHeight="1">
      <c r="A45" s="17" t="s">
        <v>186</v>
      </c>
      <c r="B45" s="17" t="s">
        <v>187</v>
      </c>
      <c r="C45" s="25">
        <v>45786</v>
      </c>
      <c r="D45" s="17" t="s">
        <v>86</v>
      </c>
      <c r="E45" s="17" t="s">
        <v>70</v>
      </c>
      <c r="F45" s="17" t="s">
        <v>77</v>
      </c>
      <c r="G45" s="18">
        <v>1900000</v>
      </c>
      <c r="J45" s="50" t="s">
        <v>96</v>
      </c>
      <c r="K45" s="49">
        <v>17684000</v>
      </c>
    </row>
    <row r="46" spans="1:11" ht="15.75" customHeight="1">
      <c r="A46" s="17" t="s">
        <v>188</v>
      </c>
      <c r="B46" s="17" t="s">
        <v>189</v>
      </c>
      <c r="C46" s="25" t="s">
        <v>190</v>
      </c>
      <c r="D46" s="17" t="s">
        <v>117</v>
      </c>
      <c r="E46" s="17" t="s">
        <v>76</v>
      </c>
      <c r="F46" s="17" t="s">
        <v>71</v>
      </c>
      <c r="G46" s="18">
        <v>186000</v>
      </c>
      <c r="J46" s="51" t="s">
        <v>76</v>
      </c>
      <c r="K46" s="49">
        <v>343000</v>
      </c>
    </row>
    <row r="47" spans="1:11" ht="15.75" customHeight="1">
      <c r="A47" s="17" t="s">
        <v>191</v>
      </c>
      <c r="B47" s="17" t="s">
        <v>192</v>
      </c>
      <c r="C47" s="25">
        <v>45965</v>
      </c>
      <c r="D47" s="17" t="s">
        <v>117</v>
      </c>
      <c r="E47" s="17" t="s">
        <v>93</v>
      </c>
      <c r="F47" s="17" t="s">
        <v>77</v>
      </c>
      <c r="G47" s="18">
        <v>4405000</v>
      </c>
      <c r="J47" s="51" t="s">
        <v>97</v>
      </c>
      <c r="K47" s="49">
        <v>5511000</v>
      </c>
    </row>
    <row r="48" spans="1:11" ht="15.75" customHeight="1">
      <c r="A48" s="17" t="s">
        <v>193</v>
      </c>
      <c r="B48" s="17" t="s">
        <v>194</v>
      </c>
      <c r="C48" s="25" t="s">
        <v>195</v>
      </c>
      <c r="D48" s="17" t="s">
        <v>123</v>
      </c>
      <c r="E48" s="17" t="s">
        <v>70</v>
      </c>
      <c r="F48" s="17" t="s">
        <v>77</v>
      </c>
      <c r="G48" s="18">
        <v>5294000</v>
      </c>
      <c r="J48" s="51" t="s">
        <v>80</v>
      </c>
      <c r="K48" s="49">
        <v>11830000</v>
      </c>
    </row>
    <row r="49" spans="1:11" ht="15.75" customHeight="1">
      <c r="A49" s="17" t="s">
        <v>196</v>
      </c>
      <c r="B49" s="17" t="s">
        <v>197</v>
      </c>
      <c r="C49" s="25" t="s">
        <v>198</v>
      </c>
      <c r="D49" s="17" t="s">
        <v>96</v>
      </c>
      <c r="E49" s="17" t="s">
        <v>97</v>
      </c>
      <c r="F49" s="17" t="s">
        <v>77</v>
      </c>
      <c r="G49" s="18">
        <v>832000</v>
      </c>
      <c r="J49" s="50" t="s">
        <v>110</v>
      </c>
      <c r="K49" s="49">
        <v>52106000</v>
      </c>
    </row>
    <row r="50" spans="1:11" ht="15.75" customHeight="1">
      <c r="A50" s="17" t="s">
        <v>199</v>
      </c>
      <c r="B50" s="17" t="s">
        <v>200</v>
      </c>
      <c r="C50" s="25">
        <v>45972</v>
      </c>
      <c r="D50" s="17" t="s">
        <v>110</v>
      </c>
      <c r="E50" s="17" t="s">
        <v>111</v>
      </c>
      <c r="F50" s="17" t="s">
        <v>71</v>
      </c>
      <c r="G50" s="18">
        <v>13905000</v>
      </c>
      <c r="J50" s="51" t="s">
        <v>70</v>
      </c>
      <c r="K50" s="49">
        <v>3505000</v>
      </c>
    </row>
    <row r="51" spans="1:11" ht="15.75" customHeight="1">
      <c r="A51" s="17" t="s">
        <v>201</v>
      </c>
      <c r="B51" s="17" t="s">
        <v>202</v>
      </c>
      <c r="C51" s="25" t="s">
        <v>203</v>
      </c>
      <c r="D51" s="17" t="s">
        <v>75</v>
      </c>
      <c r="E51" s="17" t="s">
        <v>76</v>
      </c>
      <c r="F51" s="17" t="s">
        <v>71</v>
      </c>
      <c r="G51" s="18">
        <v>154000</v>
      </c>
      <c r="J51" s="51" t="s">
        <v>111</v>
      </c>
      <c r="K51" s="49">
        <v>30167000</v>
      </c>
    </row>
    <row r="52" spans="1:11" ht="15.75" customHeight="1">
      <c r="A52" s="17" t="s">
        <v>204</v>
      </c>
      <c r="B52" s="17" t="s">
        <v>205</v>
      </c>
      <c r="C52" s="25">
        <v>45418</v>
      </c>
      <c r="D52" s="17" t="s">
        <v>110</v>
      </c>
      <c r="E52" s="17" t="s">
        <v>111</v>
      </c>
      <c r="F52" s="17" t="s">
        <v>71</v>
      </c>
      <c r="G52" s="18">
        <v>15481000</v>
      </c>
      <c r="J52" s="51" t="s">
        <v>76</v>
      </c>
      <c r="K52" s="49">
        <v>95000</v>
      </c>
    </row>
    <row r="53" spans="1:11" ht="15.75" customHeight="1">
      <c r="A53" s="17" t="s">
        <v>206</v>
      </c>
      <c r="B53" s="17" t="s">
        <v>207</v>
      </c>
      <c r="C53" s="25">
        <v>45514</v>
      </c>
      <c r="D53" s="17" t="s">
        <v>117</v>
      </c>
      <c r="E53" s="17" t="s">
        <v>97</v>
      </c>
      <c r="F53" s="17" t="s">
        <v>77</v>
      </c>
      <c r="G53" s="18">
        <v>734000</v>
      </c>
      <c r="J53" s="51" t="s">
        <v>97</v>
      </c>
      <c r="K53" s="49">
        <v>652000</v>
      </c>
    </row>
    <row r="54" spans="1:11" ht="15.75" customHeight="1">
      <c r="A54" s="17" t="s">
        <v>208</v>
      </c>
      <c r="B54" s="17" t="s">
        <v>209</v>
      </c>
      <c r="C54" s="25" t="s">
        <v>210</v>
      </c>
      <c r="D54" s="17" t="s">
        <v>86</v>
      </c>
      <c r="E54" s="17" t="s">
        <v>80</v>
      </c>
      <c r="F54" s="17" t="s">
        <v>71</v>
      </c>
      <c r="G54" s="18">
        <v>3685000</v>
      </c>
      <c r="J54" s="51" t="s">
        <v>80</v>
      </c>
      <c r="K54" s="49">
        <v>17687000</v>
      </c>
    </row>
    <row r="55" spans="1:11" ht="15.75" customHeight="1">
      <c r="A55" s="17" t="s">
        <v>211</v>
      </c>
      <c r="B55" s="17" t="s">
        <v>212</v>
      </c>
      <c r="C55" s="25" t="s">
        <v>213</v>
      </c>
      <c r="D55" s="17" t="s">
        <v>69</v>
      </c>
      <c r="E55" s="17" t="s">
        <v>70</v>
      </c>
      <c r="F55" s="17" t="s">
        <v>71</v>
      </c>
      <c r="G55" s="18">
        <v>1038000</v>
      </c>
      <c r="J55" s="48" t="s">
        <v>71</v>
      </c>
      <c r="K55" s="49">
        <v>162893000</v>
      </c>
    </row>
    <row r="56" spans="1:11" ht="15.75" customHeight="1">
      <c r="A56" s="17" t="s">
        <v>214</v>
      </c>
      <c r="B56" s="17" t="s">
        <v>215</v>
      </c>
      <c r="C56" s="25" t="s">
        <v>216</v>
      </c>
      <c r="D56" s="17" t="s">
        <v>117</v>
      </c>
      <c r="E56" s="17" t="s">
        <v>76</v>
      </c>
      <c r="F56" s="17" t="s">
        <v>77</v>
      </c>
      <c r="G56" s="18">
        <v>122000</v>
      </c>
      <c r="J56" s="50" t="s">
        <v>86</v>
      </c>
      <c r="K56" s="49">
        <v>22242000</v>
      </c>
    </row>
    <row r="57" spans="1:11" ht="15.75" customHeight="1">
      <c r="A57" s="17" t="s">
        <v>217</v>
      </c>
      <c r="B57" s="17" t="s">
        <v>218</v>
      </c>
      <c r="C57" s="25" t="s">
        <v>219</v>
      </c>
      <c r="D57" s="17" t="s">
        <v>86</v>
      </c>
      <c r="E57" s="17" t="s">
        <v>93</v>
      </c>
      <c r="F57" s="17" t="s">
        <v>71</v>
      </c>
      <c r="G57" s="18">
        <v>3071000</v>
      </c>
      <c r="J57" s="51" t="s">
        <v>93</v>
      </c>
      <c r="K57" s="49">
        <v>12445000</v>
      </c>
    </row>
    <row r="58" spans="1:11" ht="15.75" customHeight="1">
      <c r="A58" s="17" t="s">
        <v>220</v>
      </c>
      <c r="B58" s="17" t="s">
        <v>221</v>
      </c>
      <c r="C58" s="25" t="s">
        <v>222</v>
      </c>
      <c r="D58" s="17" t="s">
        <v>123</v>
      </c>
      <c r="E58" s="17" t="s">
        <v>97</v>
      </c>
      <c r="F58" s="17" t="s">
        <v>71</v>
      </c>
      <c r="G58" s="18">
        <v>342000</v>
      </c>
      <c r="J58" s="51" t="s">
        <v>76</v>
      </c>
      <c r="K58" s="49">
        <v>592000</v>
      </c>
    </row>
    <row r="59" spans="1:11" ht="15.75" customHeight="1">
      <c r="A59" s="17" t="s">
        <v>223</v>
      </c>
      <c r="B59" s="17" t="s">
        <v>224</v>
      </c>
      <c r="C59" s="25" t="s">
        <v>225</v>
      </c>
      <c r="D59" s="17" t="s">
        <v>96</v>
      </c>
      <c r="E59" s="17" t="s">
        <v>80</v>
      </c>
      <c r="F59" s="17" t="s">
        <v>77</v>
      </c>
      <c r="G59" s="18">
        <v>6531000</v>
      </c>
      <c r="J59" s="51" t="s">
        <v>80</v>
      </c>
      <c r="K59" s="49">
        <v>9205000</v>
      </c>
    </row>
    <row r="60" spans="1:11" ht="15.75" customHeight="1">
      <c r="A60" s="17" t="s">
        <v>226</v>
      </c>
      <c r="B60" s="17" t="s">
        <v>227</v>
      </c>
      <c r="C60" s="25">
        <v>45965</v>
      </c>
      <c r="D60" s="17" t="s">
        <v>123</v>
      </c>
      <c r="E60" s="17" t="s">
        <v>80</v>
      </c>
      <c r="F60" s="17" t="s">
        <v>77</v>
      </c>
      <c r="G60" s="18">
        <v>5865000</v>
      </c>
      <c r="J60" s="50" t="s">
        <v>69</v>
      </c>
      <c r="K60" s="49">
        <v>21030000</v>
      </c>
    </row>
    <row r="61" spans="1:11" ht="15.75" customHeight="1">
      <c r="A61" s="17" t="s">
        <v>228</v>
      </c>
      <c r="B61" s="17" t="s">
        <v>229</v>
      </c>
      <c r="C61" s="25">
        <v>45970</v>
      </c>
      <c r="D61" s="17" t="s">
        <v>110</v>
      </c>
      <c r="E61" s="17" t="s">
        <v>80</v>
      </c>
      <c r="F61" s="17" t="s">
        <v>71</v>
      </c>
      <c r="G61" s="18">
        <v>2887000</v>
      </c>
      <c r="J61" s="51" t="s">
        <v>70</v>
      </c>
      <c r="K61" s="49">
        <v>8875000</v>
      </c>
    </row>
    <row r="62" spans="1:11" ht="15.75" customHeight="1">
      <c r="A62" s="17" t="s">
        <v>230</v>
      </c>
      <c r="B62" s="17" t="s">
        <v>231</v>
      </c>
      <c r="C62" s="25" t="s">
        <v>232</v>
      </c>
      <c r="D62" s="17" t="s">
        <v>110</v>
      </c>
      <c r="E62" s="17" t="s">
        <v>111</v>
      </c>
      <c r="F62" s="17" t="s">
        <v>71</v>
      </c>
      <c r="G62" s="18">
        <v>16443000</v>
      </c>
      <c r="J62" s="51" t="s">
        <v>93</v>
      </c>
      <c r="K62" s="49">
        <v>5924000</v>
      </c>
    </row>
    <row r="63" spans="1:11" ht="15.75" customHeight="1">
      <c r="A63" s="17" t="s">
        <v>233</v>
      </c>
      <c r="B63" s="17" t="s">
        <v>234</v>
      </c>
      <c r="C63" s="25" t="s">
        <v>235</v>
      </c>
      <c r="D63" s="17" t="s">
        <v>69</v>
      </c>
      <c r="E63" s="17" t="s">
        <v>70</v>
      </c>
      <c r="F63" s="17" t="s">
        <v>71</v>
      </c>
      <c r="G63" s="18">
        <v>1778000</v>
      </c>
      <c r="J63" s="51" t="s">
        <v>76</v>
      </c>
      <c r="K63" s="49">
        <v>339000</v>
      </c>
    </row>
    <row r="64" spans="1:11" ht="15.75" customHeight="1">
      <c r="A64" s="17" t="s">
        <v>236</v>
      </c>
      <c r="B64" s="17" t="s">
        <v>237</v>
      </c>
      <c r="C64" s="25">
        <v>45089</v>
      </c>
      <c r="D64" s="17" t="s">
        <v>86</v>
      </c>
      <c r="E64" s="17" t="s">
        <v>93</v>
      </c>
      <c r="F64" s="17" t="s">
        <v>71</v>
      </c>
      <c r="G64" s="18">
        <v>3923000</v>
      </c>
      <c r="J64" s="51" t="s">
        <v>97</v>
      </c>
      <c r="K64" s="49">
        <v>187000</v>
      </c>
    </row>
    <row r="65" spans="1:11" ht="15.75" customHeight="1">
      <c r="A65" s="17" t="s">
        <v>238</v>
      </c>
      <c r="B65" s="17" t="s">
        <v>239</v>
      </c>
      <c r="C65" s="25" t="s">
        <v>240</v>
      </c>
      <c r="D65" s="17" t="s">
        <v>86</v>
      </c>
      <c r="E65" s="17" t="s">
        <v>76</v>
      </c>
      <c r="F65" s="17" t="s">
        <v>71</v>
      </c>
      <c r="G65" s="18">
        <v>183000</v>
      </c>
      <c r="J65" s="51" t="s">
        <v>80</v>
      </c>
      <c r="K65" s="49">
        <v>5705000</v>
      </c>
    </row>
    <row r="66" spans="1:11" ht="15.75" customHeight="1">
      <c r="A66" s="17" t="s">
        <v>241</v>
      </c>
      <c r="B66" s="17" t="s">
        <v>242</v>
      </c>
      <c r="C66" s="25">
        <v>46006</v>
      </c>
      <c r="D66" s="17" t="s">
        <v>75</v>
      </c>
      <c r="E66" s="17" t="s">
        <v>111</v>
      </c>
      <c r="F66" s="17" t="s">
        <v>77</v>
      </c>
      <c r="G66" s="18">
        <v>19501000</v>
      </c>
      <c r="J66" s="50" t="s">
        <v>75</v>
      </c>
      <c r="K66" s="49">
        <v>11139000</v>
      </c>
    </row>
    <row r="67" spans="1:11" ht="15.75" customHeight="1">
      <c r="A67" s="17" t="s">
        <v>243</v>
      </c>
      <c r="B67" s="17" t="s">
        <v>244</v>
      </c>
      <c r="C67" s="25" t="s">
        <v>245</v>
      </c>
      <c r="D67" s="17" t="s">
        <v>110</v>
      </c>
      <c r="E67" s="17" t="s">
        <v>80</v>
      </c>
      <c r="F67" s="17" t="s">
        <v>77</v>
      </c>
      <c r="G67" s="18">
        <v>3276000</v>
      </c>
      <c r="J67" s="51" t="s">
        <v>70</v>
      </c>
      <c r="K67" s="49">
        <v>4905000</v>
      </c>
    </row>
    <row r="68" spans="1:11" ht="15.75" customHeight="1">
      <c r="A68" s="17" t="s">
        <v>246</v>
      </c>
      <c r="B68" s="17" t="s">
        <v>247</v>
      </c>
      <c r="C68" s="25" t="s">
        <v>175</v>
      </c>
      <c r="D68" s="17" t="s">
        <v>69</v>
      </c>
      <c r="E68" s="17" t="s">
        <v>93</v>
      </c>
      <c r="F68" s="17" t="s">
        <v>71</v>
      </c>
      <c r="G68" s="18">
        <v>2168000</v>
      </c>
      <c r="J68" s="51" t="s">
        <v>76</v>
      </c>
      <c r="K68" s="49">
        <v>374000</v>
      </c>
    </row>
    <row r="69" spans="1:11" ht="15.75" customHeight="1">
      <c r="A69" s="17" t="s">
        <v>248</v>
      </c>
      <c r="B69" s="17" t="s">
        <v>249</v>
      </c>
      <c r="C69" s="25" t="s">
        <v>250</v>
      </c>
      <c r="D69" s="17" t="s">
        <v>117</v>
      </c>
      <c r="E69" s="17" t="s">
        <v>97</v>
      </c>
      <c r="F69" s="17" t="s">
        <v>71</v>
      </c>
      <c r="G69" s="18">
        <v>141000</v>
      </c>
      <c r="J69" s="51" t="s">
        <v>80</v>
      </c>
      <c r="K69" s="49">
        <v>5860000</v>
      </c>
    </row>
    <row r="70" spans="1:11" ht="15.75" customHeight="1">
      <c r="A70" s="17" t="s">
        <v>251</v>
      </c>
      <c r="B70" s="17" t="s">
        <v>252</v>
      </c>
      <c r="C70" s="25" t="s">
        <v>253</v>
      </c>
      <c r="D70" s="17" t="s">
        <v>123</v>
      </c>
      <c r="E70" s="17" t="s">
        <v>70</v>
      </c>
      <c r="F70" s="17" t="s">
        <v>77</v>
      </c>
      <c r="G70" s="18">
        <v>3866000</v>
      </c>
      <c r="J70" s="50" t="s">
        <v>123</v>
      </c>
      <c r="K70" s="49">
        <v>22383000</v>
      </c>
    </row>
    <row r="71" spans="1:11" ht="15.75" customHeight="1">
      <c r="A71" s="17" t="s">
        <v>254</v>
      </c>
      <c r="B71" s="17" t="s">
        <v>255</v>
      </c>
      <c r="C71" s="25">
        <v>44662</v>
      </c>
      <c r="D71" s="17" t="s">
        <v>117</v>
      </c>
      <c r="E71" s="17" t="s">
        <v>76</v>
      </c>
      <c r="F71" s="17" t="s">
        <v>77</v>
      </c>
      <c r="G71" s="18">
        <v>243000</v>
      </c>
      <c r="J71" s="51" t="s">
        <v>70</v>
      </c>
      <c r="K71" s="49">
        <v>15748000</v>
      </c>
    </row>
    <row r="72" spans="1:11" ht="15.75" customHeight="1">
      <c r="A72" s="17" t="s">
        <v>256</v>
      </c>
      <c r="B72" s="17" t="s">
        <v>257</v>
      </c>
      <c r="C72" s="25">
        <v>44446</v>
      </c>
      <c r="D72" s="17" t="s">
        <v>69</v>
      </c>
      <c r="E72" s="17" t="s">
        <v>93</v>
      </c>
      <c r="F72" s="17" t="s">
        <v>77</v>
      </c>
      <c r="G72" s="18">
        <v>7357000</v>
      </c>
      <c r="J72" s="51" t="s">
        <v>97</v>
      </c>
      <c r="K72" s="49">
        <v>640000</v>
      </c>
    </row>
    <row r="73" spans="1:11" ht="15.75" customHeight="1">
      <c r="A73" s="17" t="s">
        <v>258</v>
      </c>
      <c r="B73" s="17" t="s">
        <v>259</v>
      </c>
      <c r="C73" s="25" t="s">
        <v>260</v>
      </c>
      <c r="D73" s="17" t="s">
        <v>96</v>
      </c>
      <c r="E73" s="17" t="s">
        <v>76</v>
      </c>
      <c r="F73" s="17" t="s">
        <v>71</v>
      </c>
      <c r="G73" s="18">
        <v>210000</v>
      </c>
      <c r="J73" s="51" t="s">
        <v>80</v>
      </c>
      <c r="K73" s="49">
        <v>5995000</v>
      </c>
    </row>
    <row r="74" spans="1:11" ht="15.75" customHeight="1">
      <c r="A74" s="17" t="s">
        <v>261</v>
      </c>
      <c r="B74" s="17" t="s">
        <v>262</v>
      </c>
      <c r="C74" s="25" t="s">
        <v>263</v>
      </c>
      <c r="D74" s="17" t="s">
        <v>75</v>
      </c>
      <c r="E74" s="17" t="s">
        <v>76</v>
      </c>
      <c r="F74" s="17" t="s">
        <v>71</v>
      </c>
      <c r="G74" s="18">
        <v>90000</v>
      </c>
      <c r="J74" s="50" t="s">
        <v>117</v>
      </c>
      <c r="K74" s="49">
        <v>5650000</v>
      </c>
    </row>
    <row r="75" spans="1:11" ht="15.75" customHeight="1">
      <c r="A75" s="17" t="s">
        <v>264</v>
      </c>
      <c r="B75" s="17" t="s">
        <v>265</v>
      </c>
      <c r="C75" s="25" t="s">
        <v>266</v>
      </c>
      <c r="D75" s="17" t="s">
        <v>69</v>
      </c>
      <c r="E75" s="17" t="s">
        <v>70</v>
      </c>
      <c r="F75" s="17" t="s">
        <v>71</v>
      </c>
      <c r="G75" s="18">
        <v>1621000</v>
      </c>
      <c r="J75" s="51" t="s">
        <v>76</v>
      </c>
      <c r="K75" s="49">
        <v>987000</v>
      </c>
    </row>
    <row r="76" spans="1:11" ht="15.75" customHeight="1">
      <c r="A76" s="17" t="s">
        <v>267</v>
      </c>
      <c r="B76" s="17" t="s">
        <v>268</v>
      </c>
      <c r="C76" s="25">
        <v>44721</v>
      </c>
      <c r="D76" s="17" t="s">
        <v>117</v>
      </c>
      <c r="E76" s="17" t="s">
        <v>93</v>
      </c>
      <c r="F76" s="17" t="s">
        <v>77</v>
      </c>
      <c r="G76" s="18">
        <v>4049000</v>
      </c>
      <c r="J76" s="51" t="s">
        <v>97</v>
      </c>
      <c r="K76" s="49">
        <v>141000</v>
      </c>
    </row>
    <row r="77" spans="1:11" ht="15.75" customHeight="1">
      <c r="A77" s="17" t="s">
        <v>269</v>
      </c>
      <c r="B77" s="17" t="s">
        <v>270</v>
      </c>
      <c r="C77" s="25" t="s">
        <v>271</v>
      </c>
      <c r="D77" s="17" t="s">
        <v>75</v>
      </c>
      <c r="E77" s="17" t="s">
        <v>80</v>
      </c>
      <c r="F77" s="17" t="s">
        <v>77</v>
      </c>
      <c r="G77" s="18">
        <v>5903000</v>
      </c>
      <c r="J77" s="51" t="s">
        <v>80</v>
      </c>
      <c r="K77" s="49">
        <v>4522000</v>
      </c>
    </row>
    <row r="78" spans="1:11" ht="15.75" customHeight="1">
      <c r="A78" s="17" t="s">
        <v>272</v>
      </c>
      <c r="B78" s="17" t="s">
        <v>273</v>
      </c>
      <c r="C78" s="25">
        <v>45085</v>
      </c>
      <c r="D78" s="17" t="s">
        <v>86</v>
      </c>
      <c r="E78" s="17" t="s">
        <v>76</v>
      </c>
      <c r="F78" s="17" t="s">
        <v>71</v>
      </c>
      <c r="G78" s="18">
        <v>74000</v>
      </c>
      <c r="J78" s="50" t="s">
        <v>96</v>
      </c>
      <c r="K78" s="49">
        <v>6127000</v>
      </c>
    </row>
    <row r="79" spans="1:11" ht="15.75" customHeight="1">
      <c r="A79" s="17" t="s">
        <v>274</v>
      </c>
      <c r="B79" s="17" t="s">
        <v>275</v>
      </c>
      <c r="C79" s="25">
        <v>45755</v>
      </c>
      <c r="D79" s="17" t="s">
        <v>123</v>
      </c>
      <c r="E79" s="17" t="s">
        <v>70</v>
      </c>
      <c r="F79" s="17" t="s">
        <v>71</v>
      </c>
      <c r="G79" s="18">
        <v>2635000</v>
      </c>
      <c r="J79" s="51" t="s">
        <v>93</v>
      </c>
      <c r="K79" s="49">
        <v>2067000</v>
      </c>
    </row>
    <row r="80" spans="1:11" ht="15.75" customHeight="1">
      <c r="A80" s="17" t="s">
        <v>276</v>
      </c>
      <c r="B80" s="17" t="s">
        <v>277</v>
      </c>
      <c r="C80" s="25">
        <v>45976</v>
      </c>
      <c r="D80" s="17" t="s">
        <v>69</v>
      </c>
      <c r="E80" s="17" t="s">
        <v>76</v>
      </c>
      <c r="F80" s="17" t="s">
        <v>71</v>
      </c>
      <c r="G80" s="18">
        <v>175000</v>
      </c>
      <c r="J80" s="51" t="s">
        <v>76</v>
      </c>
      <c r="K80" s="49">
        <v>523000</v>
      </c>
    </row>
    <row r="81" spans="1:11" ht="15.75" customHeight="1">
      <c r="A81" s="17" t="s">
        <v>278</v>
      </c>
      <c r="B81" s="17" t="s">
        <v>279</v>
      </c>
      <c r="C81" s="25" t="s">
        <v>280</v>
      </c>
      <c r="D81" s="17" t="s">
        <v>69</v>
      </c>
      <c r="E81" s="17" t="s">
        <v>70</v>
      </c>
      <c r="F81" s="17" t="s">
        <v>77</v>
      </c>
      <c r="G81" s="18">
        <v>2112000</v>
      </c>
      <c r="J81" s="51" t="s">
        <v>97</v>
      </c>
      <c r="K81" s="49">
        <v>532000</v>
      </c>
    </row>
    <row r="82" spans="1:11" ht="15.75" customHeight="1">
      <c r="A82" s="17" t="s">
        <v>281</v>
      </c>
      <c r="B82" s="17" t="s">
        <v>282</v>
      </c>
      <c r="C82" s="25">
        <v>45200</v>
      </c>
      <c r="D82" s="17" t="s">
        <v>117</v>
      </c>
      <c r="E82" s="17" t="s">
        <v>76</v>
      </c>
      <c r="F82" s="17" t="s">
        <v>77</v>
      </c>
      <c r="G82" s="18">
        <v>144000</v>
      </c>
      <c r="J82" s="51" t="s">
        <v>80</v>
      </c>
      <c r="K82" s="49">
        <v>3005000</v>
      </c>
    </row>
    <row r="83" spans="1:11" ht="15.75" customHeight="1">
      <c r="A83" s="17" t="s">
        <v>283</v>
      </c>
      <c r="B83" s="17" t="s">
        <v>284</v>
      </c>
      <c r="C83" s="25" t="s">
        <v>285</v>
      </c>
      <c r="D83" s="17" t="s">
        <v>123</v>
      </c>
      <c r="E83" s="17" t="s">
        <v>80</v>
      </c>
      <c r="F83" s="17" t="s">
        <v>71</v>
      </c>
      <c r="G83" s="18">
        <v>1587000</v>
      </c>
      <c r="J83" s="50" t="s">
        <v>110</v>
      </c>
      <c r="K83" s="49">
        <v>74322000</v>
      </c>
    </row>
    <row r="84" spans="1:11" ht="15.75" customHeight="1">
      <c r="A84" s="17" t="s">
        <v>286</v>
      </c>
      <c r="B84" s="17" t="s">
        <v>287</v>
      </c>
      <c r="C84" s="25">
        <v>45509</v>
      </c>
      <c r="D84" s="17" t="s">
        <v>96</v>
      </c>
      <c r="E84" s="17" t="s">
        <v>76</v>
      </c>
      <c r="F84" s="17" t="s">
        <v>77</v>
      </c>
      <c r="G84" s="18">
        <v>136000</v>
      </c>
      <c r="J84" s="51" t="s">
        <v>70</v>
      </c>
      <c r="K84" s="49">
        <v>2079000</v>
      </c>
    </row>
    <row r="85" spans="1:11" ht="15.75" customHeight="1">
      <c r="A85" s="17" t="s">
        <v>288</v>
      </c>
      <c r="B85" s="17" t="s">
        <v>289</v>
      </c>
      <c r="C85" s="25">
        <v>45089</v>
      </c>
      <c r="D85" s="17" t="s">
        <v>117</v>
      </c>
      <c r="E85" s="17" t="s">
        <v>76</v>
      </c>
      <c r="F85" s="17" t="s">
        <v>71</v>
      </c>
      <c r="G85" s="18">
        <v>168000</v>
      </c>
      <c r="J85" s="51" t="s">
        <v>111</v>
      </c>
      <c r="K85" s="49">
        <v>58716000</v>
      </c>
    </row>
    <row r="86" spans="1:11" ht="15.75" customHeight="1">
      <c r="A86" s="17" t="s">
        <v>290</v>
      </c>
      <c r="B86" s="17" t="s">
        <v>291</v>
      </c>
      <c r="C86" s="25" t="s">
        <v>292</v>
      </c>
      <c r="D86" s="17" t="s">
        <v>96</v>
      </c>
      <c r="E86" s="17" t="s">
        <v>97</v>
      </c>
      <c r="F86" s="17" t="s">
        <v>77</v>
      </c>
      <c r="G86" s="18">
        <v>441000</v>
      </c>
      <c r="J86" s="51" t="s">
        <v>93</v>
      </c>
      <c r="K86" s="49">
        <v>8290000</v>
      </c>
    </row>
    <row r="87" spans="1:11" ht="15.75" customHeight="1">
      <c r="A87" s="17" t="s">
        <v>293</v>
      </c>
      <c r="B87" s="17" t="s">
        <v>294</v>
      </c>
      <c r="C87" s="25">
        <v>45871</v>
      </c>
      <c r="D87" s="17" t="s">
        <v>69</v>
      </c>
      <c r="E87" s="17" t="s">
        <v>70</v>
      </c>
      <c r="F87" s="17" t="s">
        <v>71</v>
      </c>
      <c r="G87" s="18">
        <v>1990000</v>
      </c>
      <c r="J87" s="51" t="s">
        <v>76</v>
      </c>
      <c r="K87" s="49">
        <v>379000</v>
      </c>
    </row>
    <row r="88" spans="1:11" ht="15.75" customHeight="1">
      <c r="A88" s="17" t="s">
        <v>295</v>
      </c>
      <c r="B88" s="17" t="s">
        <v>296</v>
      </c>
      <c r="C88" s="25" t="s">
        <v>297</v>
      </c>
      <c r="D88" s="17" t="s">
        <v>123</v>
      </c>
      <c r="E88" s="17" t="s">
        <v>70</v>
      </c>
      <c r="F88" s="17" t="s">
        <v>71</v>
      </c>
      <c r="G88" s="18">
        <v>3819000</v>
      </c>
      <c r="J88" s="51" t="s">
        <v>80</v>
      </c>
      <c r="K88" s="49">
        <v>4858000</v>
      </c>
    </row>
    <row r="89" spans="1:11" ht="15.75" customHeight="1">
      <c r="A89" s="17" t="s">
        <v>298</v>
      </c>
      <c r="B89" s="17" t="s">
        <v>299</v>
      </c>
      <c r="C89" s="25">
        <v>45788</v>
      </c>
      <c r="D89" s="17" t="s">
        <v>96</v>
      </c>
      <c r="E89" s="17" t="s">
        <v>97</v>
      </c>
      <c r="F89" s="17" t="s">
        <v>77</v>
      </c>
      <c r="G89" s="18">
        <v>452000</v>
      </c>
      <c r="J89" s="48" t="s">
        <v>471</v>
      </c>
      <c r="K89" s="49">
        <v>446070000</v>
      </c>
    </row>
    <row r="90" spans="1:11" ht="15.75" customHeight="1">
      <c r="A90" s="17" t="s">
        <v>300</v>
      </c>
      <c r="B90" s="17" t="s">
        <v>301</v>
      </c>
      <c r="C90" s="25">
        <v>44630</v>
      </c>
      <c r="D90" s="17" t="s">
        <v>75</v>
      </c>
      <c r="E90" s="17" t="s">
        <v>70</v>
      </c>
      <c r="F90" s="17" t="s">
        <v>77</v>
      </c>
      <c r="G90" s="18">
        <v>4482000</v>
      </c>
    </row>
    <row r="91" spans="1:11" ht="15.75" customHeight="1">
      <c r="A91" s="17" t="s">
        <v>302</v>
      </c>
      <c r="B91" s="17" t="s">
        <v>303</v>
      </c>
      <c r="C91" s="25">
        <v>45912</v>
      </c>
      <c r="D91" s="17" t="s">
        <v>110</v>
      </c>
      <c r="E91" s="17" t="s">
        <v>80</v>
      </c>
      <c r="F91" s="17" t="s">
        <v>77</v>
      </c>
      <c r="G91" s="18">
        <v>4324000</v>
      </c>
    </row>
    <row r="92" spans="1:11" ht="15.75" customHeight="1">
      <c r="A92" s="17" t="s">
        <v>304</v>
      </c>
      <c r="B92" s="17" t="s">
        <v>305</v>
      </c>
      <c r="C92" s="25">
        <v>46003</v>
      </c>
      <c r="D92" s="17" t="s">
        <v>69</v>
      </c>
      <c r="E92" s="17" t="s">
        <v>97</v>
      </c>
      <c r="F92" s="17" t="s">
        <v>71</v>
      </c>
      <c r="G92" s="18">
        <v>187000</v>
      </c>
    </row>
    <row r="93" spans="1:11" ht="15.75" customHeight="1">
      <c r="A93" s="17" t="s">
        <v>306</v>
      </c>
      <c r="B93" s="17" t="s">
        <v>307</v>
      </c>
      <c r="C93" s="25" t="s">
        <v>308</v>
      </c>
      <c r="D93" s="17" t="s">
        <v>96</v>
      </c>
      <c r="E93" s="17" t="s">
        <v>97</v>
      </c>
      <c r="F93" s="17" t="s">
        <v>71</v>
      </c>
      <c r="G93" s="18">
        <v>318000</v>
      </c>
    </row>
    <row r="94" spans="1:11" ht="15.75" customHeight="1">
      <c r="A94" s="17" t="s">
        <v>309</v>
      </c>
      <c r="B94" s="17" t="s">
        <v>310</v>
      </c>
      <c r="C94" s="25" t="s">
        <v>311</v>
      </c>
      <c r="D94" s="17" t="s">
        <v>110</v>
      </c>
      <c r="E94" s="17" t="s">
        <v>76</v>
      </c>
      <c r="F94" s="17" t="s">
        <v>71</v>
      </c>
      <c r="G94" s="18">
        <v>55000</v>
      </c>
    </row>
    <row r="95" spans="1:11" ht="15.75" customHeight="1">
      <c r="A95" s="17" t="s">
        <v>312</v>
      </c>
      <c r="B95" s="17" t="s">
        <v>313</v>
      </c>
      <c r="C95" s="25" t="s">
        <v>314</v>
      </c>
      <c r="D95" s="17" t="s">
        <v>69</v>
      </c>
      <c r="E95" s="17" t="s">
        <v>93</v>
      </c>
      <c r="F95" s="17" t="s">
        <v>77</v>
      </c>
      <c r="G95" s="18">
        <v>2235000</v>
      </c>
    </row>
    <row r="96" spans="1:11" ht="15.75" customHeight="1">
      <c r="A96" s="17" t="s">
        <v>315</v>
      </c>
      <c r="B96" s="17" t="s">
        <v>316</v>
      </c>
      <c r="C96" s="25" t="s">
        <v>317</v>
      </c>
      <c r="D96" s="17" t="s">
        <v>110</v>
      </c>
      <c r="E96" s="17" t="s">
        <v>93</v>
      </c>
      <c r="F96" s="17" t="s">
        <v>71</v>
      </c>
      <c r="G96" s="18">
        <v>3592000</v>
      </c>
    </row>
    <row r="97" spans="1:7" ht="15.75" customHeight="1">
      <c r="A97" s="17" t="s">
        <v>318</v>
      </c>
      <c r="B97" s="17" t="s">
        <v>319</v>
      </c>
      <c r="C97" s="25">
        <v>45659</v>
      </c>
      <c r="D97" s="17" t="s">
        <v>123</v>
      </c>
      <c r="E97" s="17" t="s">
        <v>70</v>
      </c>
      <c r="F97" s="17" t="s">
        <v>77</v>
      </c>
      <c r="G97" s="18">
        <v>4815000</v>
      </c>
    </row>
    <row r="98" spans="1:7" ht="15.75" customHeight="1">
      <c r="A98" s="17" t="s">
        <v>320</v>
      </c>
      <c r="B98" s="17" t="s">
        <v>321</v>
      </c>
      <c r="C98" s="25" t="s">
        <v>322</v>
      </c>
      <c r="D98" s="17" t="s">
        <v>86</v>
      </c>
      <c r="E98" s="17" t="s">
        <v>80</v>
      </c>
      <c r="F98" s="17" t="s">
        <v>71</v>
      </c>
      <c r="G98" s="18">
        <v>2718000</v>
      </c>
    </row>
    <row r="99" spans="1:7" ht="15.75" customHeight="1">
      <c r="A99" s="17" t="s">
        <v>323</v>
      </c>
      <c r="B99" s="17" t="s">
        <v>324</v>
      </c>
      <c r="C99" s="25">
        <v>44694</v>
      </c>
      <c r="D99" s="17" t="s">
        <v>117</v>
      </c>
      <c r="E99" s="17" t="s">
        <v>76</v>
      </c>
      <c r="F99" s="17" t="s">
        <v>77</v>
      </c>
      <c r="G99" s="18">
        <v>207000</v>
      </c>
    </row>
    <row r="100" spans="1:7" ht="15.75" customHeight="1">
      <c r="A100" s="17" t="s">
        <v>325</v>
      </c>
      <c r="B100" s="17" t="s">
        <v>326</v>
      </c>
      <c r="C100" s="25" t="s">
        <v>327</v>
      </c>
      <c r="D100" s="17" t="s">
        <v>69</v>
      </c>
      <c r="E100" s="17" t="s">
        <v>76</v>
      </c>
      <c r="F100" s="17" t="s">
        <v>71</v>
      </c>
      <c r="G100" s="18">
        <v>164000</v>
      </c>
    </row>
    <row r="101" spans="1:7" ht="15.75" customHeight="1">
      <c r="A101" s="17" t="s">
        <v>328</v>
      </c>
      <c r="B101" s="17" t="s">
        <v>329</v>
      </c>
      <c r="C101" s="25">
        <v>45050</v>
      </c>
      <c r="D101" s="17" t="s">
        <v>69</v>
      </c>
      <c r="E101" s="17" t="s">
        <v>80</v>
      </c>
      <c r="F101" s="17" t="s">
        <v>71</v>
      </c>
      <c r="G101" s="18">
        <v>2151000</v>
      </c>
    </row>
    <row r="102" spans="1:7" ht="15.75" customHeight="1">
      <c r="A102" s="17" t="s">
        <v>330</v>
      </c>
      <c r="B102" s="17" t="s">
        <v>331</v>
      </c>
      <c r="C102" s="25">
        <v>45993</v>
      </c>
      <c r="D102" s="17" t="s">
        <v>110</v>
      </c>
      <c r="E102" s="17" t="s">
        <v>80</v>
      </c>
      <c r="F102" s="17" t="s">
        <v>71</v>
      </c>
      <c r="G102" s="18">
        <v>1971000</v>
      </c>
    </row>
    <row r="103" spans="1:7" ht="15.75" customHeight="1">
      <c r="A103" s="17" t="s">
        <v>332</v>
      </c>
      <c r="B103" s="17" t="s">
        <v>333</v>
      </c>
      <c r="C103" s="25" t="s">
        <v>334</v>
      </c>
      <c r="D103" s="17" t="s">
        <v>86</v>
      </c>
      <c r="E103" s="17" t="s">
        <v>76</v>
      </c>
      <c r="F103" s="17" t="s">
        <v>71</v>
      </c>
      <c r="G103" s="18">
        <v>176000</v>
      </c>
    </row>
    <row r="104" spans="1:7" ht="15.75" customHeight="1">
      <c r="A104" s="17" t="s">
        <v>335</v>
      </c>
      <c r="B104" s="17" t="s">
        <v>336</v>
      </c>
      <c r="C104" s="25" t="s">
        <v>337</v>
      </c>
      <c r="D104" s="17" t="s">
        <v>123</v>
      </c>
      <c r="E104" s="17" t="s">
        <v>97</v>
      </c>
      <c r="F104" s="17" t="s">
        <v>77</v>
      </c>
      <c r="G104" s="18">
        <v>811000</v>
      </c>
    </row>
    <row r="105" spans="1:7" ht="15.75" customHeight="1">
      <c r="A105" s="17" t="s">
        <v>338</v>
      </c>
      <c r="B105" s="17" t="s">
        <v>339</v>
      </c>
      <c r="C105" s="25">
        <v>45881</v>
      </c>
      <c r="D105" s="17" t="s">
        <v>117</v>
      </c>
      <c r="E105" s="17" t="s">
        <v>76</v>
      </c>
      <c r="F105" s="17" t="s">
        <v>77</v>
      </c>
      <c r="G105" s="18">
        <v>74000</v>
      </c>
    </row>
    <row r="106" spans="1:7" ht="15.75" customHeight="1">
      <c r="A106" s="17" t="s">
        <v>340</v>
      </c>
      <c r="B106" s="17" t="s">
        <v>341</v>
      </c>
      <c r="C106" s="25">
        <v>45698</v>
      </c>
      <c r="D106" s="17" t="s">
        <v>117</v>
      </c>
      <c r="E106" s="17" t="s">
        <v>76</v>
      </c>
      <c r="F106" s="17" t="s">
        <v>77</v>
      </c>
      <c r="G106" s="18">
        <v>73000</v>
      </c>
    </row>
    <row r="107" spans="1:7" ht="15.75" customHeight="1">
      <c r="A107" s="17" t="s">
        <v>342</v>
      </c>
      <c r="B107" s="17" t="s">
        <v>343</v>
      </c>
      <c r="C107" s="25">
        <v>45481</v>
      </c>
      <c r="D107" s="17" t="s">
        <v>117</v>
      </c>
      <c r="E107" s="17" t="s">
        <v>97</v>
      </c>
      <c r="F107" s="17" t="s">
        <v>77</v>
      </c>
      <c r="G107" s="18">
        <v>722000</v>
      </c>
    </row>
    <row r="108" spans="1:7" ht="15.75" customHeight="1">
      <c r="A108" s="17" t="s">
        <v>344</v>
      </c>
      <c r="B108" s="17" t="s">
        <v>345</v>
      </c>
      <c r="C108" s="25" t="s">
        <v>346</v>
      </c>
      <c r="D108" s="17" t="s">
        <v>75</v>
      </c>
      <c r="E108" s="17" t="s">
        <v>80</v>
      </c>
      <c r="F108" s="17" t="s">
        <v>71</v>
      </c>
      <c r="G108" s="18">
        <v>3010000</v>
      </c>
    </row>
    <row r="109" spans="1:7" ht="15.75" customHeight="1">
      <c r="A109" s="17" t="s">
        <v>347</v>
      </c>
      <c r="B109" s="17" t="s">
        <v>348</v>
      </c>
      <c r="C109" s="25" t="s">
        <v>349</v>
      </c>
      <c r="D109" s="17" t="s">
        <v>96</v>
      </c>
      <c r="E109" s="17" t="s">
        <v>97</v>
      </c>
      <c r="F109" s="17" t="s">
        <v>77</v>
      </c>
      <c r="G109" s="18">
        <v>912000</v>
      </c>
    </row>
    <row r="110" spans="1:7" ht="15.75" customHeight="1">
      <c r="A110" s="17" t="s">
        <v>350</v>
      </c>
      <c r="B110" s="17" t="s">
        <v>351</v>
      </c>
      <c r="C110" s="25">
        <v>45962</v>
      </c>
      <c r="D110" s="17" t="s">
        <v>75</v>
      </c>
      <c r="E110" s="17" t="s">
        <v>111</v>
      </c>
      <c r="F110" s="17" t="s">
        <v>77</v>
      </c>
      <c r="G110" s="18">
        <v>16454000</v>
      </c>
    </row>
    <row r="111" spans="1:7" ht="15.75" customHeight="1">
      <c r="A111" s="17" t="s">
        <v>352</v>
      </c>
      <c r="B111" s="17" t="s">
        <v>353</v>
      </c>
      <c r="C111" s="25" t="s">
        <v>354</v>
      </c>
      <c r="D111" s="17" t="s">
        <v>69</v>
      </c>
      <c r="E111" s="17" t="s">
        <v>97</v>
      </c>
      <c r="F111" s="17" t="s">
        <v>77</v>
      </c>
      <c r="G111" s="18">
        <v>1190000</v>
      </c>
    </row>
    <row r="112" spans="1:7" ht="15.75" customHeight="1">
      <c r="A112" s="17" t="s">
        <v>355</v>
      </c>
      <c r="B112" s="17" t="s">
        <v>356</v>
      </c>
      <c r="C112" s="25" t="s">
        <v>357</v>
      </c>
      <c r="D112" s="17" t="s">
        <v>123</v>
      </c>
      <c r="E112" s="17" t="s">
        <v>70</v>
      </c>
      <c r="F112" s="17" t="s">
        <v>77</v>
      </c>
      <c r="G112" s="18">
        <v>2803000</v>
      </c>
    </row>
    <row r="113" spans="1:7" ht="15.75" customHeight="1">
      <c r="A113" s="17" t="s">
        <v>358</v>
      </c>
      <c r="B113" s="17" t="s">
        <v>359</v>
      </c>
      <c r="C113" s="25" t="s">
        <v>360</v>
      </c>
      <c r="D113" s="17" t="s">
        <v>110</v>
      </c>
      <c r="E113" s="17" t="s">
        <v>76</v>
      </c>
      <c r="F113" s="17" t="s">
        <v>71</v>
      </c>
      <c r="G113" s="18">
        <v>169000</v>
      </c>
    </row>
    <row r="114" spans="1:7" ht="15.75" customHeight="1">
      <c r="A114" s="17" t="s">
        <v>361</v>
      </c>
      <c r="B114" s="17" t="s">
        <v>362</v>
      </c>
      <c r="C114" s="25">
        <v>45830</v>
      </c>
      <c r="D114" s="17" t="s">
        <v>117</v>
      </c>
      <c r="E114" s="17" t="s">
        <v>76</v>
      </c>
      <c r="F114" s="17" t="s">
        <v>71</v>
      </c>
      <c r="G114" s="18">
        <v>176000</v>
      </c>
    </row>
    <row r="115" spans="1:7" ht="15.75" customHeight="1">
      <c r="A115" s="17" t="s">
        <v>363</v>
      </c>
      <c r="B115" s="17" t="s">
        <v>364</v>
      </c>
      <c r="C115" s="25">
        <v>45722</v>
      </c>
      <c r="D115" s="17" t="s">
        <v>117</v>
      </c>
      <c r="E115" s="17" t="s">
        <v>76</v>
      </c>
      <c r="F115" s="17" t="s">
        <v>77</v>
      </c>
      <c r="G115" s="18">
        <v>83000</v>
      </c>
    </row>
    <row r="116" spans="1:7" ht="15.75" customHeight="1">
      <c r="A116" s="17" t="s">
        <v>365</v>
      </c>
      <c r="B116" s="17" t="s">
        <v>366</v>
      </c>
      <c r="C116" s="25">
        <v>45999</v>
      </c>
      <c r="D116" s="17" t="s">
        <v>110</v>
      </c>
      <c r="E116" s="17" t="s">
        <v>70</v>
      </c>
      <c r="F116" s="17" t="s">
        <v>71</v>
      </c>
      <c r="G116" s="18">
        <v>2079000</v>
      </c>
    </row>
    <row r="117" spans="1:7" ht="15.75" customHeight="1">
      <c r="A117" s="17" t="s">
        <v>367</v>
      </c>
      <c r="B117" s="17" t="s">
        <v>368</v>
      </c>
      <c r="C117" s="25">
        <v>45569</v>
      </c>
      <c r="D117" s="17" t="s">
        <v>117</v>
      </c>
      <c r="E117" s="17" t="s">
        <v>76</v>
      </c>
      <c r="F117" s="17" t="s">
        <v>71</v>
      </c>
      <c r="G117" s="18">
        <v>97000</v>
      </c>
    </row>
    <row r="118" spans="1:7" ht="15.75" customHeight="1">
      <c r="A118" s="17" t="s">
        <v>369</v>
      </c>
      <c r="B118" s="17" t="s">
        <v>370</v>
      </c>
      <c r="C118" s="25">
        <v>44717</v>
      </c>
      <c r="D118" s="17" t="s">
        <v>75</v>
      </c>
      <c r="E118" s="17" t="s">
        <v>70</v>
      </c>
      <c r="F118" s="17" t="s">
        <v>71</v>
      </c>
      <c r="G118" s="18">
        <v>1523000</v>
      </c>
    </row>
    <row r="119" spans="1:7" ht="15.75" customHeight="1">
      <c r="A119" s="17" t="s">
        <v>371</v>
      </c>
      <c r="B119" s="17" t="s">
        <v>372</v>
      </c>
      <c r="C119" s="25">
        <v>44938</v>
      </c>
      <c r="D119" s="17" t="s">
        <v>123</v>
      </c>
      <c r="E119" s="17" t="s">
        <v>70</v>
      </c>
      <c r="F119" s="17" t="s">
        <v>71</v>
      </c>
      <c r="G119" s="18">
        <v>2646000</v>
      </c>
    </row>
    <row r="120" spans="1:7" ht="15.75" customHeight="1">
      <c r="A120" s="17" t="s">
        <v>373</v>
      </c>
      <c r="B120" s="17" t="s">
        <v>374</v>
      </c>
      <c r="C120" s="25" t="s">
        <v>375</v>
      </c>
      <c r="D120" s="17" t="s">
        <v>75</v>
      </c>
      <c r="E120" s="17" t="s">
        <v>70</v>
      </c>
      <c r="F120" s="17" t="s">
        <v>71</v>
      </c>
      <c r="G120" s="18">
        <v>1348000</v>
      </c>
    </row>
    <row r="121" spans="1:7" ht="15.75" customHeight="1">
      <c r="A121" s="17" t="s">
        <v>376</v>
      </c>
      <c r="B121" s="17" t="s">
        <v>377</v>
      </c>
      <c r="C121" s="25">
        <v>45724</v>
      </c>
      <c r="D121" s="17" t="s">
        <v>123</v>
      </c>
      <c r="E121" s="17" t="s">
        <v>80</v>
      </c>
      <c r="F121" s="17" t="s">
        <v>77</v>
      </c>
      <c r="G121" s="18">
        <v>6079000</v>
      </c>
    </row>
    <row r="122" spans="1:7" ht="15.75" customHeight="1">
      <c r="A122" s="17" t="s">
        <v>378</v>
      </c>
      <c r="B122" s="17" t="s">
        <v>379</v>
      </c>
      <c r="C122" s="25" t="s">
        <v>380</v>
      </c>
      <c r="D122" s="17" t="s">
        <v>69</v>
      </c>
      <c r="E122" s="17" t="s">
        <v>70</v>
      </c>
      <c r="F122" s="17" t="s">
        <v>77</v>
      </c>
      <c r="G122" s="18">
        <v>2440000</v>
      </c>
    </row>
    <row r="123" spans="1:7" ht="15.75" customHeight="1">
      <c r="A123" s="17" t="s">
        <v>381</v>
      </c>
      <c r="B123" s="17" t="s">
        <v>382</v>
      </c>
      <c r="C123" s="25">
        <v>45778</v>
      </c>
      <c r="D123" s="17" t="s">
        <v>96</v>
      </c>
      <c r="E123" s="17" t="s">
        <v>80</v>
      </c>
      <c r="F123" s="17" t="s">
        <v>71</v>
      </c>
      <c r="G123" s="18">
        <v>3005000</v>
      </c>
    </row>
    <row r="124" spans="1:7" ht="15.75" customHeight="1">
      <c r="A124" s="17" t="s">
        <v>383</v>
      </c>
      <c r="B124" s="17" t="s">
        <v>384</v>
      </c>
      <c r="C124" s="25">
        <v>45627</v>
      </c>
      <c r="D124" s="17" t="s">
        <v>75</v>
      </c>
      <c r="E124" s="17" t="s">
        <v>76</v>
      </c>
      <c r="F124" s="17" t="s">
        <v>71</v>
      </c>
      <c r="G124" s="18">
        <v>130000</v>
      </c>
    </row>
    <row r="125" spans="1:7" ht="15.75" customHeight="1">
      <c r="A125" s="17" t="s">
        <v>385</v>
      </c>
      <c r="B125" s="17" t="s">
        <v>386</v>
      </c>
      <c r="C125" s="25" t="s">
        <v>387</v>
      </c>
      <c r="D125" s="17" t="s">
        <v>117</v>
      </c>
      <c r="E125" s="17" t="s">
        <v>76</v>
      </c>
      <c r="F125" s="17" t="s">
        <v>71</v>
      </c>
      <c r="G125" s="18">
        <v>62000</v>
      </c>
    </row>
    <row r="126" spans="1:7" ht="15.75" customHeight="1">
      <c r="A126" s="17" t="s">
        <v>388</v>
      </c>
      <c r="B126" s="17" t="s">
        <v>389</v>
      </c>
      <c r="C126" s="25" t="s">
        <v>380</v>
      </c>
      <c r="D126" s="17" t="s">
        <v>86</v>
      </c>
      <c r="E126" s="17" t="s">
        <v>93</v>
      </c>
      <c r="F126" s="17" t="s">
        <v>71</v>
      </c>
      <c r="G126" s="18">
        <v>3187000</v>
      </c>
    </row>
    <row r="127" spans="1:7" ht="15.75" customHeight="1">
      <c r="A127" s="17" t="s">
        <v>390</v>
      </c>
      <c r="B127" s="17" t="s">
        <v>391</v>
      </c>
      <c r="C127" s="25" t="s">
        <v>392</v>
      </c>
      <c r="D127" s="17" t="s">
        <v>123</v>
      </c>
      <c r="E127" s="17" t="s">
        <v>70</v>
      </c>
      <c r="F127" s="17" t="s">
        <v>77</v>
      </c>
      <c r="G127" s="18">
        <v>1975000</v>
      </c>
    </row>
    <row r="128" spans="1:7" ht="15.75" customHeight="1">
      <c r="A128" s="17" t="s">
        <v>393</v>
      </c>
      <c r="B128" s="17" t="s">
        <v>394</v>
      </c>
      <c r="C128" s="25">
        <v>45700</v>
      </c>
      <c r="D128" s="17" t="s">
        <v>69</v>
      </c>
      <c r="E128" s="17" t="s">
        <v>93</v>
      </c>
      <c r="F128" s="17" t="s">
        <v>71</v>
      </c>
      <c r="G128" s="18">
        <v>3756000</v>
      </c>
    </row>
    <row r="129" spans="1:19" ht="15.75" customHeight="1">
      <c r="A129" s="17" t="s">
        <v>395</v>
      </c>
      <c r="B129" s="17" t="s">
        <v>396</v>
      </c>
      <c r="C129" s="25" t="s">
        <v>397</v>
      </c>
      <c r="D129" s="17" t="s">
        <v>110</v>
      </c>
      <c r="E129" s="17" t="s">
        <v>76</v>
      </c>
      <c r="F129" s="17" t="s">
        <v>71</v>
      </c>
      <c r="G129" s="18">
        <v>155000</v>
      </c>
    </row>
    <row r="130" spans="1:19" ht="15.75" customHeight="1">
      <c r="A130" s="17" t="s">
        <v>398</v>
      </c>
      <c r="B130" s="17" t="s">
        <v>399</v>
      </c>
      <c r="C130" s="25" t="s">
        <v>400</v>
      </c>
      <c r="D130" s="17" t="s">
        <v>75</v>
      </c>
      <c r="E130" s="17" t="s">
        <v>70</v>
      </c>
      <c r="F130" s="17" t="s">
        <v>71</v>
      </c>
      <c r="G130" s="18">
        <v>2034000</v>
      </c>
    </row>
    <row r="131" spans="1:19" ht="15.75" customHeight="1">
      <c r="A131" s="17" t="s">
        <v>401</v>
      </c>
      <c r="B131" s="17" t="s">
        <v>402</v>
      </c>
      <c r="C131" s="25" t="s">
        <v>139</v>
      </c>
      <c r="D131" s="17" t="s">
        <v>86</v>
      </c>
      <c r="E131" s="17" t="s">
        <v>93</v>
      </c>
      <c r="F131" s="17" t="s">
        <v>77</v>
      </c>
      <c r="G131" s="18">
        <v>3073000</v>
      </c>
    </row>
    <row r="132" spans="1:19" ht="15.75" customHeight="1">
      <c r="A132" s="17" t="s">
        <v>403</v>
      </c>
      <c r="B132" s="17" t="s">
        <v>404</v>
      </c>
      <c r="C132" s="25" t="s">
        <v>349</v>
      </c>
      <c r="D132" s="17" t="s">
        <v>117</v>
      </c>
      <c r="E132" s="17" t="s">
        <v>76</v>
      </c>
      <c r="F132" s="17" t="s">
        <v>77</v>
      </c>
      <c r="G132" s="18">
        <v>153000</v>
      </c>
    </row>
    <row r="133" spans="1:19" ht="15.75" customHeight="1">
      <c r="A133" s="17" t="s">
        <v>405</v>
      </c>
      <c r="B133" s="17" t="s">
        <v>406</v>
      </c>
      <c r="C133" s="25" t="s">
        <v>407</v>
      </c>
      <c r="D133" s="17" t="s">
        <v>96</v>
      </c>
      <c r="E133" s="17" t="s">
        <v>76</v>
      </c>
      <c r="F133" s="17" t="s">
        <v>77</v>
      </c>
      <c r="G133" s="18">
        <v>207000</v>
      </c>
    </row>
    <row r="134" spans="1:19" ht="15.75" customHeight="1">
      <c r="A134" s="17" t="s">
        <v>408</v>
      </c>
      <c r="B134" s="17" t="s">
        <v>409</v>
      </c>
      <c r="C134" s="25">
        <v>45544</v>
      </c>
      <c r="D134" s="17" t="s">
        <v>86</v>
      </c>
      <c r="E134" s="17" t="s">
        <v>80</v>
      </c>
      <c r="F134" s="17" t="s">
        <v>77</v>
      </c>
      <c r="G134" s="18">
        <v>4857000</v>
      </c>
    </row>
    <row r="135" spans="1:19" ht="15.75" customHeight="1">
      <c r="A135" s="17" t="s">
        <v>410</v>
      </c>
      <c r="B135" s="17" t="s">
        <v>411</v>
      </c>
      <c r="C135" s="25" t="s">
        <v>412</v>
      </c>
      <c r="D135" s="17" t="s">
        <v>117</v>
      </c>
      <c r="E135" s="17" t="s">
        <v>80</v>
      </c>
      <c r="F135" s="17" t="s">
        <v>77</v>
      </c>
      <c r="G135" s="18">
        <v>5626000</v>
      </c>
    </row>
    <row r="136" spans="1:19" ht="15.75" customHeight="1">
      <c r="A136" s="17" t="s">
        <v>413</v>
      </c>
      <c r="B136" s="17" t="s">
        <v>414</v>
      </c>
      <c r="C136" s="25" t="s">
        <v>415</v>
      </c>
      <c r="D136" s="17" t="s">
        <v>123</v>
      </c>
      <c r="E136" s="17" t="s">
        <v>80</v>
      </c>
      <c r="F136" s="17" t="s">
        <v>71</v>
      </c>
      <c r="G136" s="18">
        <v>4408000</v>
      </c>
    </row>
    <row r="137" spans="1:19" ht="15.75" customHeight="1">
      <c r="A137" s="17" t="s">
        <v>416</v>
      </c>
      <c r="B137" s="17" t="s">
        <v>417</v>
      </c>
      <c r="C137" s="25">
        <v>45513</v>
      </c>
      <c r="D137" s="17" t="s">
        <v>75</v>
      </c>
      <c r="E137" s="17" t="s">
        <v>76</v>
      </c>
      <c r="F137" s="17" t="s">
        <v>77</v>
      </c>
      <c r="G137" s="18">
        <v>289000</v>
      </c>
    </row>
    <row r="138" spans="1:19" ht="15.75" customHeight="1"/>
    <row r="139" spans="1:19" ht="15.75" customHeight="1"/>
    <row r="140" spans="1:19" ht="15.75" customHeight="1"/>
    <row r="141" spans="1:19" ht="15.75" customHeight="1"/>
    <row r="142" spans="1:19" ht="15.75" customHeight="1"/>
    <row r="143" spans="1:19" ht="15.75" customHeight="1">
      <c r="I143" s="17" t="s">
        <v>486</v>
      </c>
      <c r="K143" s="17" t="s">
        <v>111</v>
      </c>
      <c r="M143" s="17" t="s">
        <v>93</v>
      </c>
      <c r="O143" s="17" t="s">
        <v>76</v>
      </c>
      <c r="Q143" s="17" t="s">
        <v>97</v>
      </c>
      <c r="S143" s="17" t="s">
        <v>80</v>
      </c>
    </row>
    <row r="144" spans="1:19" ht="15.75" customHeight="1">
      <c r="E144" t="s">
        <v>491</v>
      </c>
      <c r="F144">
        <v>135</v>
      </c>
      <c r="G144" t="s">
        <v>480</v>
      </c>
      <c r="I144" s="18">
        <v>5294000</v>
      </c>
      <c r="K144" s="18">
        <v>31173000</v>
      </c>
      <c r="M144" s="18">
        <v>7357000</v>
      </c>
      <c r="O144" s="18">
        <v>289000</v>
      </c>
      <c r="Q144" s="18">
        <v>1190000</v>
      </c>
      <c r="S144" s="18">
        <v>7005000</v>
      </c>
    </row>
    <row r="145" spans="5:19" ht="15.75" customHeight="1">
      <c r="E145">
        <f>F145/F144</f>
        <v>0.19259259259259259</v>
      </c>
      <c r="F145">
        <f>COUNT(I144:I169)</f>
        <v>26</v>
      </c>
      <c r="G145" t="s">
        <v>70</v>
      </c>
      <c r="I145" s="18">
        <v>4815000</v>
      </c>
      <c r="K145" s="18">
        <v>30167000</v>
      </c>
      <c r="M145" s="18">
        <v>4779000</v>
      </c>
      <c r="O145" s="18">
        <v>260000</v>
      </c>
      <c r="Q145" s="18">
        <v>912000</v>
      </c>
      <c r="S145" s="18">
        <v>6531000</v>
      </c>
    </row>
    <row r="146" spans="5:19" ht="15.75" customHeight="1">
      <c r="E146">
        <f>F146/F144</f>
        <v>6.6666666666666666E-2</v>
      </c>
      <c r="F146">
        <f>COUNT(K144:K152)</f>
        <v>9</v>
      </c>
      <c r="G146" t="s">
        <v>487</v>
      </c>
      <c r="I146" s="18">
        <v>4482000</v>
      </c>
      <c r="K146" s="18">
        <v>23105000</v>
      </c>
      <c r="M146" s="18">
        <v>4698000</v>
      </c>
      <c r="O146" s="18">
        <v>243000</v>
      </c>
      <c r="Q146" s="18">
        <v>832000</v>
      </c>
      <c r="S146" s="18">
        <v>6079000</v>
      </c>
    </row>
    <row r="147" spans="5:19" ht="15.75" customHeight="1">
      <c r="E147">
        <f>F147/F144</f>
        <v>0.12592592592592591</v>
      </c>
      <c r="F147">
        <f>COUNT(M144:M160)</f>
        <v>17</v>
      </c>
      <c r="G147" t="s">
        <v>488</v>
      </c>
      <c r="I147" s="18">
        <v>4477000</v>
      </c>
      <c r="K147" s="18">
        <v>19501000</v>
      </c>
      <c r="M147" s="18">
        <v>4405000</v>
      </c>
      <c r="O147" s="18">
        <v>210000</v>
      </c>
      <c r="Q147" s="18">
        <v>811000</v>
      </c>
      <c r="S147" s="18">
        <v>5903000</v>
      </c>
    </row>
    <row r="148" spans="5:19" ht="15.75" customHeight="1">
      <c r="E148">
        <f>F148/F144</f>
        <v>0.26666666666666666</v>
      </c>
      <c r="F148">
        <f>COUNT(O144:O179)</f>
        <v>36</v>
      </c>
      <c r="G148" t="s">
        <v>489</v>
      </c>
      <c r="I148" s="18">
        <v>3866000</v>
      </c>
      <c r="K148" s="18">
        <v>16454000</v>
      </c>
      <c r="M148" s="18">
        <v>4375000</v>
      </c>
      <c r="O148" s="18">
        <v>207000</v>
      </c>
      <c r="Q148" s="18">
        <v>800000</v>
      </c>
      <c r="S148" s="18">
        <v>5865000</v>
      </c>
    </row>
    <row r="149" spans="5:19" ht="15.75" customHeight="1">
      <c r="E149">
        <f>F149/F144</f>
        <v>0.14074074074074075</v>
      </c>
      <c r="F149">
        <f>COUNT(Q144:Q162)</f>
        <v>19</v>
      </c>
      <c r="G149" t="s">
        <v>97</v>
      </c>
      <c r="I149" s="18">
        <v>3819000</v>
      </c>
      <c r="K149" s="18">
        <v>16443000</v>
      </c>
      <c r="M149" s="18">
        <v>4049000</v>
      </c>
      <c r="O149" s="18">
        <v>207000</v>
      </c>
      <c r="Q149" s="18">
        <v>781000</v>
      </c>
      <c r="S149" s="18">
        <v>5626000</v>
      </c>
    </row>
    <row r="150" spans="5:19" ht="15.75" customHeight="1">
      <c r="E150">
        <f>F150/F144</f>
        <v>0.2074074074074074</v>
      </c>
      <c r="F150">
        <f>COUNT(S144:S171)</f>
        <v>28</v>
      </c>
      <c r="G150" t="s">
        <v>490</v>
      </c>
      <c r="I150" s="18">
        <v>3515000</v>
      </c>
      <c r="K150" s="18">
        <v>15481000</v>
      </c>
      <c r="M150" s="18">
        <v>3923000</v>
      </c>
      <c r="O150" s="18">
        <v>205000</v>
      </c>
      <c r="Q150" s="18">
        <v>734000</v>
      </c>
      <c r="S150" s="18">
        <v>5342000</v>
      </c>
    </row>
    <row r="151" spans="5:19" ht="15.75" customHeight="1">
      <c r="E151">
        <f>SUM(E145:E150)</f>
        <v>1</v>
      </c>
      <c r="I151" s="18">
        <v>3505000</v>
      </c>
      <c r="K151" s="18">
        <v>13905000</v>
      </c>
      <c r="M151" s="18">
        <v>3756000</v>
      </c>
      <c r="O151" s="18">
        <v>194000</v>
      </c>
      <c r="Q151" s="18">
        <v>722000</v>
      </c>
      <c r="S151" s="18">
        <v>5299000</v>
      </c>
    </row>
    <row r="152" spans="5:19" ht="15.75" customHeight="1">
      <c r="I152" s="18">
        <v>3322000</v>
      </c>
      <c r="K152" s="18">
        <v>12887000</v>
      </c>
      <c r="M152" s="18">
        <v>3592000</v>
      </c>
      <c r="O152" s="18">
        <v>186000</v>
      </c>
      <c r="Q152" s="18">
        <v>675000</v>
      </c>
      <c r="S152" s="18">
        <v>5134000</v>
      </c>
    </row>
    <row r="153" spans="5:19" ht="15.75" customHeight="1">
      <c r="I153" s="18">
        <v>3133000</v>
      </c>
      <c r="K153" s="49">
        <f>MEDIAN(K144:K152)</f>
        <v>16454000</v>
      </c>
      <c r="M153" s="18">
        <v>3416000</v>
      </c>
      <c r="O153" s="18">
        <v>183000</v>
      </c>
      <c r="Q153" s="18">
        <v>652000</v>
      </c>
      <c r="S153" s="18">
        <v>4953000</v>
      </c>
    </row>
    <row r="154" spans="5:19" ht="15.75" customHeight="1">
      <c r="I154" s="18">
        <v>2803000</v>
      </c>
      <c r="K154" s="57">
        <f>AVERAGE(K144:K152)</f>
        <v>19901777.777777776</v>
      </c>
      <c r="M154" s="18">
        <v>3187000</v>
      </c>
      <c r="O154" s="18">
        <v>183000</v>
      </c>
      <c r="Q154" s="18">
        <v>618000</v>
      </c>
      <c r="S154" s="18">
        <v>4857000</v>
      </c>
    </row>
    <row r="155" spans="5:19" ht="15.75" customHeight="1">
      <c r="I155" s="18">
        <v>2646000</v>
      </c>
      <c r="K155" s="56"/>
      <c r="M155" s="18">
        <v>3073000</v>
      </c>
      <c r="O155" s="18">
        <v>176000</v>
      </c>
      <c r="Q155" s="18">
        <v>452000</v>
      </c>
      <c r="S155" s="18">
        <v>4522000</v>
      </c>
    </row>
    <row r="156" spans="5:19" ht="15.75" customHeight="1">
      <c r="I156" s="18">
        <v>2635000</v>
      </c>
      <c r="M156" s="18">
        <v>3071000</v>
      </c>
      <c r="O156" s="18">
        <v>176000</v>
      </c>
      <c r="Q156" s="18">
        <v>441000</v>
      </c>
      <c r="S156" s="18">
        <v>4408000</v>
      </c>
    </row>
    <row r="157" spans="5:19" ht="15.75" customHeight="1">
      <c r="I157" s="18">
        <v>2448000</v>
      </c>
      <c r="K157" s="56"/>
      <c r="M157" s="18">
        <v>2264000</v>
      </c>
      <c r="O157" s="18">
        <v>175000</v>
      </c>
      <c r="Q157" s="18">
        <v>342000</v>
      </c>
      <c r="S157" s="18">
        <v>4324000</v>
      </c>
    </row>
    <row r="158" spans="5:19" ht="15.75" customHeight="1">
      <c r="I158" s="18">
        <v>2440000</v>
      </c>
      <c r="M158" s="18">
        <v>2235000</v>
      </c>
      <c r="O158" s="18">
        <v>169000</v>
      </c>
      <c r="Q158" s="18">
        <v>318000</v>
      </c>
      <c r="S158" s="18">
        <v>3845000</v>
      </c>
    </row>
    <row r="159" spans="5:19" ht="15.75" customHeight="1">
      <c r="I159" s="18">
        <v>2112000</v>
      </c>
      <c r="K159" s="56"/>
      <c r="M159" s="18">
        <v>2168000</v>
      </c>
      <c r="O159" s="18">
        <v>168000</v>
      </c>
      <c r="Q159" s="18">
        <v>298000</v>
      </c>
      <c r="S159" s="18">
        <v>3685000</v>
      </c>
    </row>
    <row r="160" spans="5:19" ht="15.75" customHeight="1">
      <c r="I160" s="18">
        <v>2079000</v>
      </c>
      <c r="M160" s="18">
        <v>2067000</v>
      </c>
      <c r="O160" s="18">
        <v>164000</v>
      </c>
      <c r="Q160" s="18">
        <v>214000</v>
      </c>
      <c r="S160" s="18">
        <v>3554000</v>
      </c>
    </row>
    <row r="161" spans="9:19" ht="15.75" customHeight="1">
      <c r="I161" s="18">
        <v>2034000</v>
      </c>
      <c r="K161" s="56"/>
      <c r="M161" s="57">
        <f>MEDIAN(M144:M160)</f>
        <v>3592000</v>
      </c>
      <c r="O161" s="18">
        <v>159000</v>
      </c>
      <c r="Q161" s="18">
        <v>187000</v>
      </c>
      <c r="S161" s="18">
        <v>3276000</v>
      </c>
    </row>
    <row r="162" spans="9:19" ht="15.75" customHeight="1">
      <c r="I162" s="18">
        <v>1990000</v>
      </c>
      <c r="K162" s="56"/>
      <c r="M162" s="57">
        <f>AVERAGE(M144:M160)</f>
        <v>3671470.588235294</v>
      </c>
      <c r="O162" s="18">
        <v>155000</v>
      </c>
      <c r="Q162" s="18">
        <v>141000</v>
      </c>
      <c r="S162" s="18">
        <v>3010000</v>
      </c>
    </row>
    <row r="163" spans="9:19" ht="15.75" customHeight="1">
      <c r="I163" s="18">
        <v>1975000</v>
      </c>
      <c r="K163" s="56"/>
      <c r="M163" s="56"/>
      <c r="O163" s="18">
        <v>154000</v>
      </c>
      <c r="Q163" s="57">
        <f>MEDIAN(Q144:Q162)</f>
        <v>652000</v>
      </c>
      <c r="S163" s="18">
        <v>3005000</v>
      </c>
    </row>
    <row r="164" spans="9:19" ht="15.75" customHeight="1">
      <c r="I164" s="18">
        <v>1900000</v>
      </c>
      <c r="K164" s="56"/>
      <c r="M164" s="56"/>
      <c r="O164" s="18">
        <v>153000</v>
      </c>
      <c r="Q164" s="57">
        <f>AVERAGE(Q144:Q162)</f>
        <v>585263.15789473685</v>
      </c>
      <c r="S164" s="18">
        <v>2887000</v>
      </c>
    </row>
    <row r="165" spans="9:19" ht="15.75" customHeight="1">
      <c r="I165" s="18">
        <v>1778000</v>
      </c>
      <c r="K165" s="56"/>
      <c r="M165" s="56"/>
      <c r="O165" s="18">
        <v>144000</v>
      </c>
      <c r="Q165" s="56"/>
      <c r="S165" s="18">
        <v>2850000</v>
      </c>
    </row>
    <row r="166" spans="9:19" ht="15.75" customHeight="1">
      <c r="I166" s="18">
        <v>1621000</v>
      </c>
      <c r="K166" s="56"/>
      <c r="M166" s="56"/>
      <c r="O166" s="18">
        <v>136000</v>
      </c>
      <c r="Q166" s="56"/>
      <c r="S166" s="18">
        <v>2802000</v>
      </c>
    </row>
    <row r="167" spans="9:19" ht="15.75" customHeight="1">
      <c r="I167" s="18">
        <v>1523000</v>
      </c>
      <c r="K167" s="56"/>
      <c r="M167" s="56"/>
      <c r="O167" s="18">
        <v>130000</v>
      </c>
      <c r="Q167" s="56"/>
      <c r="S167" s="18">
        <v>2718000</v>
      </c>
    </row>
    <row r="168" spans="9:19" ht="15.75" customHeight="1">
      <c r="I168" s="18">
        <v>1348000</v>
      </c>
      <c r="K168" s="56"/>
      <c r="M168" s="56"/>
      <c r="O168" s="18">
        <v>122000</v>
      </c>
      <c r="Q168" s="56"/>
      <c r="S168" s="18">
        <v>2169000</v>
      </c>
    </row>
    <row r="169" spans="9:19" ht="15.75" customHeight="1">
      <c r="I169" s="18">
        <v>1038000</v>
      </c>
      <c r="K169" s="56"/>
      <c r="M169" s="56"/>
      <c r="O169" s="18">
        <v>108000</v>
      </c>
      <c r="Q169" s="56"/>
      <c r="S169" s="18">
        <v>2151000</v>
      </c>
    </row>
    <row r="170" spans="9:19" ht="15.75" customHeight="1">
      <c r="I170" s="49">
        <f>MEDIAN(I144:I169)</f>
        <v>2541500</v>
      </c>
      <c r="O170" s="18">
        <v>104000</v>
      </c>
      <c r="S170" s="18">
        <v>1971000</v>
      </c>
    </row>
    <row r="171" spans="9:19" ht="15.75" customHeight="1">
      <c r="I171" s="49">
        <f>AVERAGE(I144:I169)</f>
        <v>2792230.769230769</v>
      </c>
      <c r="O171" s="18">
        <v>97000</v>
      </c>
      <c r="S171" s="18">
        <v>1587000</v>
      </c>
    </row>
    <row r="172" spans="9:19" ht="15.75" customHeight="1">
      <c r="O172" s="18">
        <v>95000</v>
      </c>
      <c r="S172" s="49">
        <f>MEDIAN(S144:S171)</f>
        <v>4084500</v>
      </c>
    </row>
    <row r="173" spans="9:19" ht="15.75" customHeight="1">
      <c r="O173" s="18">
        <v>90000</v>
      </c>
      <c r="S173" s="49">
        <f>AVERAGE(S144:S171)</f>
        <v>4119928.5714285714</v>
      </c>
    </row>
    <row r="174" spans="9:19" ht="15.75" customHeight="1">
      <c r="O174" s="18">
        <v>83000</v>
      </c>
    </row>
    <row r="175" spans="9:19" ht="15.75" customHeight="1">
      <c r="O175" s="18">
        <v>74000</v>
      </c>
    </row>
    <row r="176" spans="9:19" ht="15.75" customHeight="1">
      <c r="O176" s="18">
        <v>74000</v>
      </c>
    </row>
    <row r="177" spans="15:15" ht="15.75" customHeight="1">
      <c r="O177" s="18">
        <v>73000</v>
      </c>
    </row>
    <row r="178" spans="15:15" ht="15.75" customHeight="1">
      <c r="O178" s="18">
        <v>62000</v>
      </c>
    </row>
    <row r="179" spans="15:15" ht="15.75" customHeight="1">
      <c r="O179" s="18">
        <v>55000</v>
      </c>
    </row>
    <row r="180" spans="15:15" ht="15.75" customHeight="1">
      <c r="O180" s="49">
        <f>MEDIAN(O144:O179)</f>
        <v>157000</v>
      </c>
    </row>
    <row r="181" spans="15:15" ht="15.75" customHeight="1">
      <c r="O181" s="49">
        <f>AVERAGE(O144:O179)</f>
        <v>151750</v>
      </c>
    </row>
    <row r="182" spans="15:15" ht="15.75" customHeight="1"/>
    <row r="183" spans="15:15" ht="15.75" customHeight="1"/>
    <row r="184" spans="15:15" ht="15.75" customHeight="1"/>
    <row r="185" spans="15:15" ht="15.75" customHeight="1"/>
    <row r="186" spans="15:15" ht="15.75" customHeight="1"/>
    <row r="187" spans="15:15" ht="15.75" customHeight="1"/>
    <row r="188" spans="15:15" ht="15.75" customHeight="1"/>
    <row r="189" spans="15:15" ht="15.75" customHeight="1"/>
    <row r="190" spans="15:15" ht="15.75" customHeight="1"/>
    <row r="191" spans="15:15" ht="15.75" customHeight="1"/>
    <row r="192" spans="15: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G137" xr:uid="{00000000-0001-0000-0200-000000000000}"/>
  <sortState xmlns:xlrd2="http://schemas.microsoft.com/office/spreadsheetml/2017/richdata2" ref="S144:S171">
    <sortCondition descending="1" ref="S144:S171"/>
  </sortState>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Y991"/>
  <sheetViews>
    <sheetView zoomScaleNormal="100" workbookViewId="0">
      <selection activeCell="A14" sqref="A14:D14"/>
    </sheetView>
  </sheetViews>
  <sheetFormatPr defaultColWidth="12.6640625" defaultRowHeight="15" customHeight="1"/>
  <cols>
    <col min="1" max="1" width="35.21875" bestFit="1" customWidth="1"/>
    <col min="2" max="2" width="23.33203125" bestFit="1" customWidth="1"/>
    <col min="3" max="3" width="18" bestFit="1" customWidth="1"/>
    <col min="4" max="4" width="18.44140625" bestFit="1" customWidth="1"/>
    <col min="5" max="5" width="23.33203125" bestFit="1" customWidth="1"/>
  </cols>
  <sheetData>
    <row r="1" spans="1:25" ht="15.75" customHeight="1">
      <c r="A1" s="8" t="s">
        <v>418</v>
      </c>
      <c r="B1" s="19"/>
      <c r="C1" s="19"/>
      <c r="D1" s="19"/>
      <c r="E1" s="19"/>
      <c r="F1" s="19"/>
      <c r="G1" s="19"/>
      <c r="H1" s="19"/>
      <c r="I1" s="19"/>
      <c r="J1" s="19"/>
      <c r="K1" s="19"/>
      <c r="L1" s="19"/>
      <c r="M1" s="19"/>
      <c r="N1" s="19"/>
      <c r="O1" s="19"/>
      <c r="P1" s="19"/>
      <c r="Q1" s="19"/>
      <c r="R1" s="19"/>
      <c r="S1" s="19"/>
      <c r="T1" s="19"/>
      <c r="U1" s="19"/>
      <c r="V1" s="19"/>
      <c r="W1" s="19"/>
      <c r="X1" s="19"/>
      <c r="Y1" s="19"/>
    </row>
    <row r="2" spans="1:25" ht="15.75" customHeight="1">
      <c r="A2" s="36" t="s">
        <v>419</v>
      </c>
      <c r="B2" s="36"/>
      <c r="C2" s="19"/>
      <c r="D2" s="19"/>
      <c r="E2" s="19"/>
      <c r="F2" s="19"/>
      <c r="G2" s="19"/>
      <c r="H2" s="19"/>
      <c r="I2" s="19"/>
      <c r="J2" s="19"/>
      <c r="K2" s="19"/>
      <c r="L2" s="19"/>
      <c r="M2" s="19"/>
      <c r="N2" s="19"/>
      <c r="O2" s="19"/>
      <c r="P2" s="19"/>
      <c r="Q2" s="19"/>
      <c r="R2" s="19"/>
      <c r="S2" s="19"/>
      <c r="T2" s="19"/>
      <c r="U2" s="19"/>
      <c r="V2" s="19"/>
      <c r="W2" s="19"/>
      <c r="X2" s="19"/>
      <c r="Y2" s="19"/>
    </row>
    <row r="3" spans="1:25" ht="15.75" customHeight="1">
      <c r="A3" s="19"/>
      <c r="B3" s="19"/>
      <c r="C3" s="19"/>
      <c r="D3" s="19"/>
      <c r="E3" s="19"/>
      <c r="F3" s="19"/>
      <c r="G3" s="19"/>
      <c r="H3" s="19"/>
      <c r="I3" s="19"/>
      <c r="J3" s="19"/>
      <c r="K3" s="19"/>
      <c r="L3" s="19"/>
      <c r="M3" s="19"/>
      <c r="N3" s="19"/>
      <c r="O3" s="19"/>
      <c r="P3" s="19"/>
      <c r="Q3" s="19"/>
      <c r="R3" s="19"/>
      <c r="S3" s="19"/>
      <c r="T3" s="19"/>
      <c r="U3" s="19"/>
      <c r="V3" s="19"/>
      <c r="W3" s="19"/>
      <c r="X3" s="19"/>
      <c r="Y3" s="19"/>
    </row>
    <row r="4" spans="1:25" ht="15.75" customHeight="1">
      <c r="A4" s="20" t="s">
        <v>420</v>
      </c>
      <c r="B4" s="19"/>
      <c r="C4" s="19"/>
      <c r="D4" s="19"/>
      <c r="E4" s="19"/>
      <c r="F4" s="19"/>
      <c r="G4" s="19"/>
      <c r="H4" s="19"/>
      <c r="I4" s="19"/>
      <c r="J4" s="19"/>
      <c r="K4" s="19"/>
      <c r="L4" s="19"/>
      <c r="M4" s="19"/>
      <c r="N4" s="19"/>
      <c r="O4" s="19"/>
      <c r="P4" s="19"/>
      <c r="Q4" s="19"/>
      <c r="R4" s="19"/>
      <c r="S4" s="19"/>
      <c r="T4" s="19"/>
      <c r="U4" s="19"/>
      <c r="V4" s="19"/>
      <c r="W4" s="19"/>
      <c r="X4" s="19"/>
      <c r="Y4" s="19"/>
    </row>
    <row r="5" spans="1:25" ht="15.75" customHeight="1">
      <c r="A5" s="21" t="s">
        <v>421</v>
      </c>
      <c r="B5" s="21" t="s">
        <v>422</v>
      </c>
      <c r="C5" s="21" t="s">
        <v>423</v>
      </c>
      <c r="D5" s="21" t="s">
        <v>424</v>
      </c>
      <c r="E5" s="21" t="s">
        <v>425</v>
      </c>
      <c r="F5" s="21" t="s">
        <v>426</v>
      </c>
      <c r="G5" s="19"/>
      <c r="H5" s="19"/>
      <c r="I5" s="19"/>
      <c r="J5" s="19"/>
      <c r="K5" s="19"/>
      <c r="L5" s="19"/>
      <c r="M5" s="19"/>
      <c r="N5" s="19"/>
      <c r="O5" s="19"/>
      <c r="P5" s="19"/>
      <c r="Q5" s="19"/>
      <c r="R5" s="19"/>
      <c r="S5" s="19"/>
      <c r="T5" s="19"/>
      <c r="U5" s="19"/>
      <c r="V5" s="19"/>
      <c r="W5" s="19"/>
      <c r="X5" s="19"/>
      <c r="Y5" s="19"/>
    </row>
    <row r="6" spans="1:25" ht="135">
      <c r="A6" s="22" t="s">
        <v>427</v>
      </c>
      <c r="B6" s="23" t="s">
        <v>428</v>
      </c>
      <c r="C6" s="23" t="s">
        <v>429</v>
      </c>
      <c r="D6" s="23" t="s">
        <v>430</v>
      </c>
      <c r="E6" s="23" t="s">
        <v>431</v>
      </c>
      <c r="F6" s="27" t="s">
        <v>453</v>
      </c>
      <c r="G6" s="19"/>
      <c r="H6" s="19"/>
      <c r="I6" s="19"/>
      <c r="J6" s="19"/>
      <c r="K6" s="19"/>
      <c r="L6" s="19"/>
      <c r="M6" s="19"/>
      <c r="N6" s="19"/>
      <c r="O6" s="19"/>
      <c r="P6" s="19"/>
      <c r="Q6" s="19"/>
      <c r="R6" s="19"/>
      <c r="S6" s="19"/>
      <c r="T6" s="19"/>
      <c r="U6" s="19"/>
      <c r="V6" s="19"/>
      <c r="W6" s="19"/>
      <c r="X6" s="19"/>
      <c r="Y6" s="19"/>
    </row>
    <row r="7" spans="1:25" ht="105">
      <c r="A7" s="22" t="s">
        <v>432</v>
      </c>
      <c r="B7" s="23" t="s">
        <v>433</v>
      </c>
      <c r="C7" s="23" t="s">
        <v>434</v>
      </c>
      <c r="D7" s="23" t="s">
        <v>435</v>
      </c>
      <c r="E7" s="23" t="s">
        <v>436</v>
      </c>
      <c r="F7" s="24" t="s">
        <v>437</v>
      </c>
      <c r="G7" s="19"/>
      <c r="H7" s="19"/>
      <c r="I7" s="19"/>
      <c r="J7" s="19"/>
      <c r="K7" s="19"/>
      <c r="L7" s="19"/>
      <c r="M7" s="19"/>
      <c r="N7" s="19"/>
      <c r="O7" s="19"/>
      <c r="P7" s="19"/>
      <c r="Q7" s="19"/>
      <c r="R7" s="19"/>
      <c r="S7" s="19"/>
      <c r="T7" s="19"/>
      <c r="U7" s="19"/>
      <c r="V7" s="19"/>
      <c r="W7" s="19"/>
      <c r="X7" s="19"/>
      <c r="Y7" s="19"/>
    </row>
    <row r="8" spans="1:25" ht="90">
      <c r="A8" s="22" t="s">
        <v>438</v>
      </c>
      <c r="B8" s="23" t="s">
        <v>439</v>
      </c>
      <c r="C8" s="23" t="s">
        <v>440</v>
      </c>
      <c r="D8" s="23" t="s">
        <v>441</v>
      </c>
      <c r="E8" s="23" t="s">
        <v>442</v>
      </c>
      <c r="F8" s="27" t="s">
        <v>452</v>
      </c>
      <c r="G8" s="19"/>
      <c r="H8" s="19"/>
      <c r="I8" s="19"/>
      <c r="J8" s="19"/>
      <c r="K8" s="19"/>
      <c r="L8" s="19"/>
      <c r="M8" s="19"/>
      <c r="N8" s="19"/>
      <c r="O8" s="19"/>
      <c r="P8" s="19"/>
      <c r="Q8" s="19"/>
      <c r="R8" s="19"/>
      <c r="S8" s="19"/>
      <c r="T8" s="19"/>
      <c r="U8" s="19"/>
      <c r="V8" s="19"/>
      <c r="W8" s="19"/>
      <c r="X8" s="19"/>
      <c r="Y8" s="19"/>
    </row>
    <row r="9" spans="1:25" ht="90">
      <c r="A9" s="22" t="s">
        <v>443</v>
      </c>
      <c r="B9" s="23" t="s">
        <v>444</v>
      </c>
      <c r="C9" s="23" t="s">
        <v>445</v>
      </c>
      <c r="D9" s="26" t="s">
        <v>446</v>
      </c>
      <c r="E9" s="23" t="s">
        <v>447</v>
      </c>
      <c r="F9" s="23" t="s">
        <v>448</v>
      </c>
      <c r="G9" s="19"/>
      <c r="H9" s="19"/>
      <c r="I9" s="19"/>
      <c r="J9" s="19"/>
      <c r="K9" s="19"/>
      <c r="L9" s="19"/>
      <c r="M9" s="19"/>
      <c r="N9" s="19"/>
      <c r="O9" s="19"/>
      <c r="P9" s="19"/>
      <c r="Q9" s="19"/>
      <c r="R9" s="19"/>
      <c r="S9" s="19"/>
      <c r="T9" s="19"/>
      <c r="U9" s="19"/>
      <c r="V9" s="19"/>
      <c r="W9" s="19"/>
      <c r="X9" s="19"/>
      <c r="Y9" s="19"/>
    </row>
    <row r="10" spans="1:25" ht="15.75" customHeight="1">
      <c r="A10" s="36" t="s">
        <v>449</v>
      </c>
      <c r="B10" s="36"/>
      <c r="C10" s="36"/>
      <c r="D10" s="36"/>
      <c r="E10" s="19"/>
      <c r="F10" s="19"/>
      <c r="G10" s="19"/>
      <c r="H10" s="19"/>
      <c r="I10" s="19"/>
      <c r="J10" s="19"/>
      <c r="K10" s="19"/>
      <c r="L10" s="19"/>
      <c r="M10" s="19"/>
      <c r="N10" s="19"/>
      <c r="O10" s="19"/>
      <c r="P10" s="19"/>
      <c r="Q10" s="19"/>
      <c r="R10" s="19"/>
      <c r="S10" s="19"/>
      <c r="T10" s="19"/>
      <c r="U10" s="19"/>
      <c r="V10" s="19"/>
      <c r="W10" s="19"/>
      <c r="X10" s="19"/>
      <c r="Y10" s="19"/>
    </row>
    <row r="11" spans="1:25" ht="15.75" customHeight="1">
      <c r="A11" s="19"/>
      <c r="B11" s="19"/>
      <c r="C11" s="19"/>
      <c r="D11" s="19"/>
      <c r="E11" s="19"/>
      <c r="F11" s="19"/>
      <c r="G11" s="19"/>
      <c r="H11" s="19"/>
      <c r="I11" s="19"/>
      <c r="J11" s="19"/>
      <c r="K11" s="19"/>
      <c r="L11" s="19"/>
      <c r="M11" s="19"/>
      <c r="N11" s="19"/>
      <c r="O11" s="19"/>
      <c r="P11" s="19"/>
      <c r="Q11" s="19"/>
      <c r="R11" s="19"/>
      <c r="S11" s="19"/>
      <c r="T11" s="19"/>
      <c r="U11" s="19"/>
      <c r="V11" s="19"/>
      <c r="W11" s="19"/>
      <c r="X11" s="19"/>
      <c r="Y11" s="19"/>
    </row>
    <row r="12" spans="1:25" ht="15.75" customHeight="1">
      <c r="A12" s="20" t="s">
        <v>450</v>
      </c>
      <c r="B12" s="19"/>
      <c r="C12" s="19"/>
      <c r="D12" s="19"/>
      <c r="E12" s="19"/>
      <c r="F12" s="19"/>
      <c r="G12" s="19"/>
      <c r="H12" s="19"/>
      <c r="I12" s="19"/>
      <c r="J12" s="19"/>
      <c r="K12" s="19"/>
      <c r="L12" s="19"/>
      <c r="M12" s="19"/>
      <c r="N12" s="19"/>
      <c r="O12" s="19"/>
      <c r="P12" s="19"/>
      <c r="Q12" s="19"/>
      <c r="R12" s="19"/>
      <c r="S12" s="19"/>
      <c r="T12" s="19"/>
      <c r="U12" s="19"/>
      <c r="V12" s="19"/>
      <c r="W12" s="19"/>
      <c r="X12" s="19"/>
      <c r="Y12" s="19"/>
    </row>
    <row r="13" spans="1:25" ht="15.75" customHeight="1">
      <c r="A13" s="19"/>
      <c r="B13" s="19"/>
      <c r="C13" s="19"/>
      <c r="D13" s="19"/>
      <c r="E13" s="19"/>
      <c r="F13" s="19"/>
      <c r="G13" s="19"/>
      <c r="H13" s="19"/>
      <c r="I13" s="19"/>
      <c r="J13" s="19"/>
      <c r="K13" s="19"/>
      <c r="L13" s="19"/>
      <c r="M13" s="19"/>
      <c r="N13" s="19"/>
      <c r="O13" s="19"/>
      <c r="P13" s="19"/>
      <c r="Q13" s="19"/>
      <c r="R13" s="19"/>
      <c r="S13" s="19"/>
      <c r="T13" s="19"/>
      <c r="U13" s="19"/>
      <c r="V13" s="19"/>
      <c r="W13" s="19"/>
      <c r="X13" s="19"/>
      <c r="Y13" s="19"/>
    </row>
    <row r="14" spans="1:25" ht="187.95" customHeight="1">
      <c r="A14" s="37" t="s">
        <v>451</v>
      </c>
      <c r="B14" s="37"/>
      <c r="C14" s="37"/>
      <c r="D14" s="37"/>
      <c r="E14" s="19"/>
      <c r="F14" s="19"/>
      <c r="G14" s="19"/>
      <c r="H14" s="19"/>
      <c r="I14" s="19"/>
      <c r="J14" s="19"/>
      <c r="K14" s="19"/>
      <c r="L14" s="19"/>
      <c r="M14" s="19"/>
      <c r="N14" s="19"/>
      <c r="O14" s="19"/>
      <c r="P14" s="19"/>
      <c r="Q14" s="19"/>
      <c r="R14" s="19"/>
      <c r="S14" s="19"/>
      <c r="T14" s="19"/>
      <c r="U14" s="19"/>
      <c r="V14" s="19"/>
      <c r="W14" s="19"/>
      <c r="X14" s="19"/>
      <c r="Y14" s="19"/>
    </row>
    <row r="15" spans="1:25" ht="15.75" customHeight="1">
      <c r="A15" s="19"/>
      <c r="B15" s="19"/>
      <c r="C15" s="19"/>
      <c r="D15" s="19"/>
      <c r="E15" s="19"/>
      <c r="F15" s="19"/>
      <c r="G15" s="19"/>
      <c r="H15" s="19"/>
      <c r="I15" s="19"/>
      <c r="J15" s="19"/>
      <c r="K15" s="19"/>
      <c r="L15" s="19"/>
      <c r="M15" s="19"/>
      <c r="N15" s="19"/>
      <c r="O15" s="19"/>
      <c r="P15" s="19"/>
      <c r="Q15" s="19"/>
      <c r="R15" s="19"/>
      <c r="S15" s="19"/>
      <c r="T15" s="19"/>
      <c r="U15" s="19"/>
      <c r="V15" s="19"/>
      <c r="W15" s="19"/>
      <c r="X15" s="19"/>
      <c r="Y15" s="19"/>
    </row>
    <row r="16" spans="1:25" ht="15.75" customHeight="1">
      <c r="A16" s="19"/>
      <c r="B16" s="19"/>
      <c r="C16" s="19"/>
      <c r="D16" s="19"/>
      <c r="E16" s="19"/>
      <c r="F16" s="19"/>
      <c r="G16" s="19"/>
      <c r="H16" s="19"/>
      <c r="I16" s="19"/>
      <c r="J16" s="19"/>
      <c r="K16" s="19"/>
      <c r="L16" s="19"/>
      <c r="M16" s="19"/>
      <c r="N16" s="19"/>
      <c r="O16" s="19"/>
      <c r="P16" s="19"/>
      <c r="Q16" s="19"/>
      <c r="R16" s="19"/>
      <c r="S16" s="19"/>
      <c r="T16" s="19"/>
      <c r="U16" s="19"/>
      <c r="V16" s="19"/>
      <c r="W16" s="19"/>
      <c r="X16" s="19"/>
      <c r="Y16" s="19"/>
    </row>
    <row r="17" spans="1:25" ht="15.75" customHeight="1">
      <c r="A17" s="19"/>
      <c r="B17" s="19"/>
      <c r="C17" s="19"/>
      <c r="D17" s="19"/>
      <c r="E17" s="19"/>
      <c r="F17" s="19"/>
      <c r="G17" s="19"/>
      <c r="H17" s="19"/>
      <c r="I17" s="19"/>
      <c r="J17" s="19"/>
      <c r="K17" s="19"/>
      <c r="L17" s="19"/>
      <c r="M17" s="19"/>
      <c r="N17" s="19"/>
      <c r="O17" s="19"/>
      <c r="P17" s="19"/>
      <c r="Q17" s="19"/>
      <c r="R17" s="19"/>
      <c r="S17" s="19"/>
      <c r="T17" s="19"/>
      <c r="U17" s="19"/>
      <c r="V17" s="19"/>
      <c r="W17" s="19"/>
      <c r="X17" s="19"/>
      <c r="Y17" s="19"/>
    </row>
    <row r="18" spans="1:25" ht="15.7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row>
    <row r="19" spans="1:25" ht="15.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row>
    <row r="20" spans="1:25" ht="15.7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row>
    <row r="21" spans="1:25" ht="15.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row>
    <row r="22" spans="1:25" ht="15.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row>
    <row r="23" spans="1:25" ht="15.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row>
    <row r="24" spans="1:25" ht="15.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row>
    <row r="25" spans="1:25" ht="15.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row>
    <row r="26" spans="1:25" ht="15.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row>
    <row r="27" spans="1:25"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row>
    <row r="28" spans="1:25"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row>
    <row r="29" spans="1:25"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row>
    <row r="30" spans="1:25"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row>
    <row r="31" spans="1:25"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row>
    <row r="32" spans="1:25"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row>
    <row r="33" spans="1:25"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row>
    <row r="34" spans="1:25"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row>
    <row r="35" spans="1:2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row>
    <row r="36" spans="1:25"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row>
    <row r="37" spans="1:25"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row>
    <row r="38" spans="1:25"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row>
    <row r="39" spans="1:25"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row>
    <row r="40" spans="1:25"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row>
    <row r="41" spans="1:25"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row>
    <row r="42" spans="1:25"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row>
    <row r="43" spans="1:25"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row>
    <row r="44" spans="1:25"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row>
    <row r="45" spans="1:2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row>
    <row r="46" spans="1:25"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row>
    <row r="47" spans="1:25"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row>
    <row r="48" spans="1:25"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row>
    <row r="49" spans="1:25"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row>
    <row r="50" spans="1:25"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row>
    <row r="51" spans="1:25"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row>
    <row r="52" spans="1:25"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row>
    <row r="53" spans="1:25"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row>
    <row r="54" spans="1:25"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row>
    <row r="55" spans="1:2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row>
    <row r="56" spans="1:25"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row>
    <row r="57" spans="1:25"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row>
    <row r="58" spans="1:25"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row>
    <row r="59" spans="1:25"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row>
    <row r="60" spans="1:25"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row>
    <row r="61" spans="1:25"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row>
    <row r="62" spans="1:25"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row>
    <row r="63" spans="1:25"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row>
    <row r="64" spans="1:25"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row>
    <row r="65" spans="1:2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row>
    <row r="66" spans="1:25"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row>
    <row r="67" spans="1:25"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row>
    <row r="68" spans="1:25"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row>
    <row r="69" spans="1:25"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row>
    <row r="70" spans="1:25"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row>
    <row r="71" spans="1:25"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row>
    <row r="72" spans="1:25"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row>
    <row r="73" spans="1:25"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row>
    <row r="74" spans="1:25"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row>
    <row r="75" spans="1:2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row>
    <row r="76" spans="1:25"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row>
    <row r="77" spans="1:25"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row>
    <row r="78" spans="1:25"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row>
    <row r="79" spans="1:25"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row>
    <row r="80" spans="1:25"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row>
    <row r="81" spans="1:25"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row>
    <row r="82" spans="1:25"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row>
    <row r="83" spans="1:25"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row>
    <row r="84" spans="1:25"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row>
    <row r="85" spans="1:2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row>
    <row r="86" spans="1:25"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row>
    <row r="87" spans="1:25"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row>
    <row r="88" spans="1:25"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row>
    <row r="89" spans="1:25"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row>
    <row r="90" spans="1:25"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row>
    <row r="91" spans="1:25"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row>
    <row r="92" spans="1:25"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row>
    <row r="93" spans="1:25"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row>
    <row r="94" spans="1:25"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row>
    <row r="95" spans="1:2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row>
    <row r="96" spans="1:25"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row>
    <row r="97" spans="1:25"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row>
    <row r="98" spans="1:25"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row>
    <row r="99" spans="1:25"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row>
    <row r="100" spans="1:25"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row>
    <row r="101" spans="1:25"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row>
    <row r="102" spans="1:25"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row>
    <row r="103" spans="1:25"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row>
    <row r="104" spans="1:25"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row>
    <row r="105" spans="1:2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row>
    <row r="106" spans="1:25"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row>
    <row r="107" spans="1:25"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row>
    <row r="108" spans="1:25"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row>
    <row r="109" spans="1:25"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row>
    <row r="110" spans="1:25"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row>
    <row r="111" spans="1:25"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row>
    <row r="112" spans="1:25"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row>
    <row r="113" spans="1:25"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row>
    <row r="114" spans="1:25"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row>
    <row r="115" spans="1:2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row>
    <row r="116" spans="1:25"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row>
    <row r="117" spans="1:25"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row>
    <row r="118" spans="1:25"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row>
    <row r="119" spans="1:25"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row>
    <row r="120" spans="1:25"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row>
    <row r="121" spans="1:25"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row>
    <row r="122" spans="1:25"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row>
    <row r="123" spans="1:25"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row>
    <row r="124" spans="1:25"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row>
    <row r="125" spans="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row>
    <row r="126" spans="1:25"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row>
    <row r="127" spans="1:25"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row>
    <row r="128" spans="1:25"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row>
    <row r="129" spans="1:25"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row>
    <row r="130" spans="1:25"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row>
    <row r="131" spans="1:25"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row>
    <row r="132" spans="1:25"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row>
    <row r="133" spans="1:25"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row>
    <row r="134" spans="1:25"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row>
    <row r="135" spans="1:2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row>
    <row r="136" spans="1:25"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row>
    <row r="137" spans="1:25"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row>
    <row r="138" spans="1:25"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row>
    <row r="139" spans="1:25"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row>
    <row r="140" spans="1:25"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row>
    <row r="141" spans="1:25"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row>
    <row r="142" spans="1:25"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row>
    <row r="143" spans="1:25"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row>
    <row r="144" spans="1:25"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row>
    <row r="145" spans="1:2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row>
    <row r="146" spans="1:25"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row>
    <row r="147" spans="1:25"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row>
    <row r="148" spans="1:25"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row>
    <row r="149" spans="1:25"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row>
    <row r="150" spans="1:25"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row>
    <row r="151" spans="1:25"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row>
    <row r="152" spans="1:25"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row>
    <row r="153" spans="1:25"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row>
    <row r="154" spans="1:25"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row>
    <row r="155" spans="1:2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row>
    <row r="156" spans="1:25"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row>
    <row r="157" spans="1:25"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row>
    <row r="158" spans="1:25"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row>
    <row r="159" spans="1:25"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row>
    <row r="160" spans="1:25"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row>
    <row r="161" spans="1:25"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row>
    <row r="162" spans="1:25"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row>
    <row r="163" spans="1:25"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row>
    <row r="164" spans="1:25"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row>
    <row r="165" spans="1:2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row>
    <row r="166" spans="1:25"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row>
    <row r="167" spans="1:25"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row>
    <row r="168" spans="1:25"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row>
    <row r="169" spans="1:25"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row>
    <row r="170" spans="1:25"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row>
    <row r="171" spans="1:25"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row>
    <row r="172" spans="1:25"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row>
    <row r="173" spans="1:25"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row>
    <row r="174" spans="1:25"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row>
    <row r="175" spans="1:2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row>
    <row r="176" spans="1:25"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row>
    <row r="177" spans="1:25"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row>
    <row r="178" spans="1:25"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row>
    <row r="179" spans="1:25"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row>
    <row r="180" spans="1:25"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row>
    <row r="181" spans="1:25"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row>
    <row r="182" spans="1:25"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row>
    <row r="183" spans="1:25"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row>
    <row r="184" spans="1:25"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row>
    <row r="185" spans="1:2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row>
    <row r="186" spans="1:25"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row>
    <row r="187" spans="1:25"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row>
    <row r="188" spans="1:25"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row>
    <row r="189" spans="1:25"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row>
    <row r="190" spans="1:25"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row>
    <row r="191" spans="1:25"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row>
    <row r="192" spans="1:25"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row>
    <row r="193" spans="1:25"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row>
    <row r="194" spans="1:25"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row>
    <row r="195" spans="1:2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row>
    <row r="196" spans="1:25"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row>
    <row r="197" spans="1:25"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row>
    <row r="198" spans="1:25"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row>
    <row r="199" spans="1:25"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row>
    <row r="200" spans="1:25"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row>
    <row r="201" spans="1:25"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row>
    <row r="202" spans="1:25"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row>
    <row r="203" spans="1:25"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row>
    <row r="204" spans="1:25"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row>
    <row r="205" spans="1:2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row>
    <row r="206" spans="1:25"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row>
    <row r="207" spans="1:25"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row>
    <row r="208" spans="1:25"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row>
    <row r="209" spans="1:25"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row>
    <row r="210" spans="1:25"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row>
    <row r="211" spans="1:25"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row>
    <row r="212" spans="1:25"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row>
    <row r="213" spans="1:25"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row>
    <row r="214" spans="1:25"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row>
    <row r="215" spans="1:2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row>
    <row r="216" spans="1:25"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row>
    <row r="217" spans="1:25"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row>
    <row r="218" spans="1:25"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row>
    <row r="219" spans="1:25"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row>
    <row r="220" spans="1:25"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row>
    <row r="221" spans="1:25"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row>
    <row r="222" spans="1:25"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row>
    <row r="223" spans="1:25"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row>
    <row r="224" spans="1:25"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row>
    <row r="225" spans="1: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row>
    <row r="226" spans="1:25"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row>
    <row r="227" spans="1:25"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row>
    <row r="228" spans="1:25"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row>
    <row r="229" spans="1:25"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row>
    <row r="230" spans="1:25"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row>
    <row r="231" spans="1:25"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row>
    <row r="232" spans="1:25"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row>
    <row r="233" spans="1:25"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row>
    <row r="234" spans="1:25"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row>
    <row r="235" spans="1:2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row>
    <row r="236" spans="1:25"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row>
    <row r="237" spans="1:25"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row>
    <row r="238" spans="1:25"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row>
    <row r="239" spans="1:25"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row>
    <row r="240" spans="1:25"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row>
    <row r="241" spans="1:25"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row>
    <row r="242" spans="1:25"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row>
    <row r="243" spans="1:25"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row>
    <row r="244" spans="1:25"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row>
    <row r="245" spans="1:2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row>
    <row r="246" spans="1:25"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row>
    <row r="247" spans="1:25"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row>
    <row r="248" spans="1:25"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row>
    <row r="249" spans="1:25"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row>
    <row r="250" spans="1:25"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row>
    <row r="251" spans="1:25"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row>
    <row r="252" spans="1:25"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row>
    <row r="253" spans="1:25"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row>
    <row r="254" spans="1:25"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row>
    <row r="255" spans="1:2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row>
    <row r="256" spans="1:25"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row>
    <row r="257" spans="1:25"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row>
    <row r="258" spans="1:25"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row>
    <row r="259" spans="1:25"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row>
    <row r="260" spans="1:25"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row>
    <row r="261" spans="1:25"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row>
    <row r="262" spans="1:25"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row>
    <row r="263" spans="1:25"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row>
    <row r="264" spans="1:25"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row>
    <row r="265" spans="1:2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row>
    <row r="266" spans="1:25"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row>
    <row r="267" spans="1:25"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row>
    <row r="268" spans="1:25"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row>
    <row r="269" spans="1:25"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row>
    <row r="270" spans="1:25"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row>
    <row r="271" spans="1:25"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row>
    <row r="272" spans="1:25"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row>
    <row r="273" spans="1:25"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row>
    <row r="274" spans="1:25"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row>
    <row r="275" spans="1:2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row>
    <row r="276" spans="1:25"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row>
    <row r="277" spans="1:25"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row>
    <row r="278" spans="1:25"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row>
    <row r="279" spans="1:25"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row>
    <row r="280" spans="1:25"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row>
    <row r="281" spans="1:25"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row>
    <row r="282" spans="1:25"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row>
    <row r="283" spans="1:25"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row>
    <row r="284" spans="1:25"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row>
    <row r="285" spans="1:2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row>
    <row r="286" spans="1:25"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row>
    <row r="287" spans="1:25"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row>
    <row r="288" spans="1:25"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row>
    <row r="289" spans="1:25"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row>
    <row r="290" spans="1:25"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row>
    <row r="291" spans="1:25"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row>
    <row r="292" spans="1:25"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row>
    <row r="293" spans="1:25"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row>
    <row r="294" spans="1:25"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row>
    <row r="295" spans="1:2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row>
    <row r="296" spans="1:25"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row>
    <row r="297" spans="1:25"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row>
    <row r="298" spans="1:25"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row>
    <row r="299" spans="1:25"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row>
    <row r="300" spans="1:25"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row>
    <row r="301" spans="1:25"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row>
    <row r="302" spans="1:25"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row>
    <row r="303" spans="1:25"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row>
    <row r="304" spans="1:25"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row>
    <row r="305" spans="1:2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row>
    <row r="306" spans="1:25"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row>
    <row r="307" spans="1:25"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row>
    <row r="308" spans="1:25"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row>
    <row r="309" spans="1:25"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row>
    <row r="310" spans="1:25"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row>
    <row r="311" spans="1:25"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row>
    <row r="312" spans="1:25"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row>
    <row r="313" spans="1:25"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row>
    <row r="314" spans="1:25"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row>
    <row r="315" spans="1:2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row>
    <row r="316" spans="1:25"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row>
    <row r="317" spans="1:25"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row>
    <row r="318" spans="1:25"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row>
    <row r="319" spans="1:25"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row>
    <row r="320" spans="1:25"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row>
    <row r="321" spans="1:25"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row>
    <row r="322" spans="1:25"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row>
    <row r="323" spans="1:25"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row>
    <row r="324" spans="1:25"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row>
    <row r="325" spans="1: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row>
    <row r="326" spans="1:25"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row>
    <row r="327" spans="1:25"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row>
    <row r="328" spans="1:25"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row>
    <row r="329" spans="1:25"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row>
    <row r="330" spans="1:25"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row>
    <row r="331" spans="1:25"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row>
    <row r="332" spans="1:25"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row>
    <row r="333" spans="1:25"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row>
    <row r="334" spans="1:25"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row>
    <row r="335" spans="1:2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row>
    <row r="336" spans="1:25"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row>
    <row r="337" spans="1:25"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row>
    <row r="338" spans="1:25"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row>
    <row r="339" spans="1:25"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row>
    <row r="340" spans="1:25"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row>
    <row r="341" spans="1:25"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row>
    <row r="342" spans="1:25"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row>
    <row r="343" spans="1:25"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row>
    <row r="344" spans="1:25"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row>
    <row r="345" spans="1:2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row>
    <row r="346" spans="1:25"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row>
    <row r="347" spans="1:25"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row>
    <row r="348" spans="1:25"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row>
    <row r="349" spans="1:25"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row>
    <row r="350" spans="1:25"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row>
    <row r="351" spans="1:25"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row>
    <row r="352" spans="1:25"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row>
    <row r="353" spans="1:25"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row>
    <row r="354" spans="1:25"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row>
    <row r="355" spans="1:2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row>
    <row r="356" spans="1:25"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row>
    <row r="357" spans="1:25"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row>
    <row r="358" spans="1:25"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row>
    <row r="359" spans="1:25"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row>
    <row r="360" spans="1:25"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row>
    <row r="361" spans="1:25"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row>
    <row r="362" spans="1:25"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row>
    <row r="363" spans="1:25"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row>
    <row r="364" spans="1:25"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row>
    <row r="365" spans="1:2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row>
    <row r="366" spans="1:25"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row>
    <row r="367" spans="1:25"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row>
    <row r="368" spans="1:25"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row>
    <row r="369" spans="1:25"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row>
    <row r="370" spans="1:25"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row>
    <row r="371" spans="1:25"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row>
    <row r="372" spans="1:25"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row>
    <row r="373" spans="1:25"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row>
    <row r="374" spans="1:25"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row>
    <row r="375" spans="1:2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row>
    <row r="376" spans="1:25"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row>
    <row r="377" spans="1:25"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row>
    <row r="378" spans="1:25"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row>
    <row r="379" spans="1:25"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row>
    <row r="380" spans="1:25"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row>
    <row r="381" spans="1:25"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row>
    <row r="382" spans="1:25"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row>
    <row r="383" spans="1:25"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row>
    <row r="384" spans="1:25"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row>
    <row r="385" spans="1:2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row>
    <row r="386" spans="1:25"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row>
    <row r="387" spans="1:25"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row>
    <row r="388" spans="1:25"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row>
    <row r="389" spans="1:25"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row>
    <row r="390" spans="1:25"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row>
    <row r="391" spans="1:25"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row>
    <row r="392" spans="1:25"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row>
    <row r="393" spans="1:25"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row>
    <row r="394" spans="1:25"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row>
    <row r="395" spans="1:2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row>
    <row r="396" spans="1:25"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row>
    <row r="397" spans="1:25"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row>
    <row r="398" spans="1:25"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row>
    <row r="399" spans="1:25"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row>
    <row r="400" spans="1:25"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row>
    <row r="401" spans="1:25"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row>
    <row r="402" spans="1:25"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row>
    <row r="403" spans="1:25"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row>
    <row r="404" spans="1:25"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row>
    <row r="405" spans="1:2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row>
    <row r="406" spans="1:25"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row>
    <row r="407" spans="1:25"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row>
    <row r="408" spans="1:25"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row>
    <row r="409" spans="1:25"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row>
    <row r="410" spans="1:25"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row>
    <row r="411" spans="1:25"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row>
    <row r="412" spans="1:25"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row>
    <row r="413" spans="1:25"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row>
    <row r="414" spans="1:25"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row>
    <row r="415" spans="1:2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row>
    <row r="416" spans="1:25"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row>
    <row r="417" spans="1:25"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row>
    <row r="418" spans="1:25"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row>
    <row r="419" spans="1:25"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row>
    <row r="420" spans="1:25"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row>
    <row r="421" spans="1:25"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row>
    <row r="422" spans="1:25"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row>
    <row r="423" spans="1:25"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row>
    <row r="424" spans="1:25"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row>
    <row r="425" spans="1: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row>
    <row r="426" spans="1:25"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row>
    <row r="427" spans="1:25"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row>
    <row r="428" spans="1:25"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row>
    <row r="429" spans="1:25"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row>
    <row r="430" spans="1:25"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row>
    <row r="431" spans="1:25"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row>
    <row r="432" spans="1:25"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row>
    <row r="433" spans="1:25"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row>
    <row r="434" spans="1:25"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row>
    <row r="435" spans="1:2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row>
    <row r="436" spans="1:25"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row>
    <row r="437" spans="1:25"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row>
    <row r="438" spans="1:25"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row>
    <row r="439" spans="1:25"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row>
    <row r="440" spans="1:25"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row>
    <row r="441" spans="1:25"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row>
    <row r="442" spans="1:25"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row>
    <row r="443" spans="1:25"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row>
    <row r="444" spans="1:25"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row>
    <row r="445" spans="1:2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row>
    <row r="446" spans="1:25"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row>
    <row r="447" spans="1:25"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row>
    <row r="448" spans="1:25"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row>
    <row r="449" spans="1:25"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row>
    <row r="450" spans="1:25"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row>
    <row r="451" spans="1:25"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row>
    <row r="452" spans="1:25"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row>
    <row r="453" spans="1:25"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row>
    <row r="454" spans="1:25"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row>
    <row r="455" spans="1:2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row>
    <row r="456" spans="1:25"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row>
    <row r="457" spans="1:25"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row>
    <row r="458" spans="1:25"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row>
    <row r="459" spans="1:25"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row>
    <row r="460" spans="1:25"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row>
    <row r="461" spans="1:25"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row>
    <row r="462" spans="1:25"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row>
    <row r="463" spans="1:25"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row>
    <row r="464" spans="1:25"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row>
    <row r="465" spans="1:2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row>
    <row r="466" spans="1:25"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row>
    <row r="467" spans="1:25"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row>
    <row r="468" spans="1:25"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row>
    <row r="469" spans="1:25"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row>
    <row r="470" spans="1:25"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row>
    <row r="471" spans="1:25"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row>
    <row r="472" spans="1:25"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row>
    <row r="473" spans="1:25"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row>
    <row r="474" spans="1:25"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row>
    <row r="475" spans="1:2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row>
    <row r="476" spans="1:25"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row>
    <row r="477" spans="1:25"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row>
    <row r="478" spans="1:25"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row>
    <row r="479" spans="1:25"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row>
    <row r="480" spans="1:25"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row>
    <row r="481" spans="1:25"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row>
    <row r="482" spans="1:25"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row>
    <row r="483" spans="1:25"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row>
    <row r="484" spans="1:25"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row>
    <row r="485" spans="1:2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row>
    <row r="486" spans="1:25"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row>
    <row r="487" spans="1:25"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row>
    <row r="488" spans="1:25"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row>
    <row r="489" spans="1:25"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row>
    <row r="490" spans="1:25"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row>
    <row r="491" spans="1:25"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row>
    <row r="492" spans="1:25"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row>
    <row r="493" spans="1:25"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row>
    <row r="494" spans="1:25"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row>
    <row r="495" spans="1:2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row>
    <row r="496" spans="1:25"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row>
    <row r="497" spans="1:25"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row>
    <row r="498" spans="1:25"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row>
    <row r="499" spans="1:25"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row>
    <row r="500" spans="1:25"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row>
    <row r="501" spans="1:25"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row>
    <row r="502" spans="1:25"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row>
    <row r="503" spans="1:25"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row>
    <row r="504" spans="1:25"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row>
    <row r="505" spans="1:2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row>
    <row r="506" spans="1:25"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row>
    <row r="507" spans="1:25"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row>
    <row r="508" spans="1:25"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row>
    <row r="509" spans="1:25"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row>
    <row r="510" spans="1:25"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row>
    <row r="511" spans="1:25"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row>
    <row r="512" spans="1:25"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row>
    <row r="513" spans="1:25"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row>
    <row r="514" spans="1:25"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row>
    <row r="515" spans="1:2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row>
    <row r="516" spans="1:25"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row>
    <row r="517" spans="1:25"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row>
    <row r="518" spans="1:25"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row>
    <row r="519" spans="1:25"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row>
    <row r="520" spans="1:25"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row>
    <row r="521" spans="1:25"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row>
    <row r="522" spans="1:25"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row>
    <row r="523" spans="1:25"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row>
    <row r="524" spans="1:25"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row>
    <row r="525" spans="1: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row>
    <row r="526" spans="1:25"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row>
    <row r="527" spans="1:25"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row>
    <row r="528" spans="1:25"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row>
    <row r="529" spans="1:25"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row>
    <row r="530" spans="1:25"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row>
    <row r="531" spans="1:25"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row>
    <row r="532" spans="1:25"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row>
    <row r="533" spans="1:25"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row>
    <row r="534" spans="1:25"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row>
    <row r="535" spans="1:2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row>
    <row r="536" spans="1:25"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row>
    <row r="537" spans="1:25"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row>
    <row r="538" spans="1:25"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row>
    <row r="539" spans="1:25"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row>
    <row r="540" spans="1:25"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row>
    <row r="541" spans="1:25"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row>
    <row r="542" spans="1:25"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row>
    <row r="543" spans="1:25"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row>
    <row r="544" spans="1:25"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row>
    <row r="545" spans="1:2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row>
    <row r="546" spans="1:25"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row>
    <row r="547" spans="1:25"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row>
    <row r="548" spans="1:25"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row>
    <row r="549" spans="1:25"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row>
    <row r="550" spans="1:25"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row>
    <row r="551" spans="1:25"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row>
    <row r="552" spans="1:25"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row>
    <row r="553" spans="1:25"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row>
    <row r="554" spans="1:25"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row>
    <row r="555" spans="1:2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row>
    <row r="556" spans="1:25"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row>
    <row r="557" spans="1:25"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row>
    <row r="558" spans="1:25"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row>
    <row r="559" spans="1:25"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row>
    <row r="560" spans="1:25"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row>
    <row r="561" spans="1:25"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row>
    <row r="562" spans="1:25"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row>
    <row r="563" spans="1:25"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row>
    <row r="564" spans="1:25"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row>
    <row r="565" spans="1:2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row>
    <row r="566" spans="1:25"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row>
    <row r="567" spans="1:25"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row>
    <row r="568" spans="1:25"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row>
    <row r="569" spans="1:25"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row>
    <row r="570" spans="1:25"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row>
    <row r="571" spans="1:25"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row>
    <row r="572" spans="1:25"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row>
    <row r="573" spans="1:25"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row>
    <row r="574" spans="1:25"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row>
    <row r="575" spans="1:2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row>
    <row r="576" spans="1:25"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row>
    <row r="577" spans="1:25"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row>
    <row r="578" spans="1:25"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row>
    <row r="579" spans="1:25"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row>
    <row r="580" spans="1:25"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row>
    <row r="581" spans="1:25"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row>
    <row r="582" spans="1:25"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row>
    <row r="583" spans="1:25"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row>
    <row r="584" spans="1:25"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row>
    <row r="585" spans="1:2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row>
    <row r="586" spans="1:25"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row>
    <row r="587" spans="1:25"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row>
    <row r="588" spans="1:25"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row>
    <row r="589" spans="1:25"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row>
    <row r="590" spans="1:25"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row>
    <row r="591" spans="1:25"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row>
    <row r="592" spans="1:25"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row>
    <row r="593" spans="1:25"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row>
    <row r="594" spans="1:25"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row>
    <row r="595" spans="1:2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row>
    <row r="596" spans="1:25"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row>
    <row r="597" spans="1:25"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row>
    <row r="598" spans="1:25"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row>
    <row r="599" spans="1:25"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row>
    <row r="600" spans="1:25"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row>
    <row r="601" spans="1:25"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row>
    <row r="602" spans="1:25"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row>
    <row r="603" spans="1:25"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row>
    <row r="604" spans="1:25"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row>
    <row r="605" spans="1:2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row>
    <row r="606" spans="1:25"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row>
    <row r="607" spans="1:25"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row>
    <row r="608" spans="1:25"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row>
    <row r="609" spans="1:25"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row>
    <row r="610" spans="1:25"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row>
    <row r="611" spans="1:25"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row>
    <row r="612" spans="1:25"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row>
    <row r="613" spans="1:25"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row>
    <row r="614" spans="1:25"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row>
    <row r="615" spans="1:2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row>
    <row r="616" spans="1:25"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row>
    <row r="617" spans="1:25"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row>
    <row r="618" spans="1:25"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row>
    <row r="619" spans="1:25"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row>
    <row r="620" spans="1:25"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row>
    <row r="621" spans="1:25"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row>
    <row r="622" spans="1:25"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row>
    <row r="623" spans="1:25"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row>
    <row r="624" spans="1:25"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row>
    <row r="625" spans="1: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row>
    <row r="626" spans="1:25"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row>
    <row r="627" spans="1:25"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row>
    <row r="628" spans="1:25"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row>
    <row r="629" spans="1:25"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row>
    <row r="630" spans="1:25"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row>
    <row r="631" spans="1:25"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row>
    <row r="632" spans="1:25"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row>
    <row r="633" spans="1:25"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row>
    <row r="634" spans="1:25"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row>
    <row r="635" spans="1:2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row>
    <row r="636" spans="1:25"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row>
    <row r="637" spans="1:25"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row>
    <row r="638" spans="1:25"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row>
    <row r="639" spans="1:25"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row>
    <row r="640" spans="1:25"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row>
    <row r="641" spans="1:25"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row>
    <row r="642" spans="1:25"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row>
    <row r="643" spans="1:25"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row>
    <row r="644" spans="1:25"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row>
    <row r="645" spans="1:2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row>
    <row r="646" spans="1:25"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row>
    <row r="647" spans="1:25"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row>
    <row r="648" spans="1:25"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row>
    <row r="649" spans="1:25"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row>
    <row r="650" spans="1:25"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row>
    <row r="651" spans="1:25"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row>
    <row r="652" spans="1:25"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row>
    <row r="653" spans="1:25"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row>
    <row r="654" spans="1:25"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row>
    <row r="655" spans="1:2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row>
    <row r="656" spans="1:25"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row>
    <row r="657" spans="1:25"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row>
    <row r="658" spans="1:25"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row>
    <row r="659" spans="1:25"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row>
    <row r="660" spans="1:25"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row>
    <row r="661" spans="1:25"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row>
    <row r="662" spans="1:25"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row>
    <row r="663" spans="1:25"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row>
    <row r="664" spans="1:25"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row>
    <row r="665" spans="1:2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row>
    <row r="666" spans="1:25"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row>
    <row r="667" spans="1:25"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row>
    <row r="668" spans="1:25"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row>
    <row r="669" spans="1:25"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row>
    <row r="670" spans="1:25"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row>
    <row r="671" spans="1:25"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row>
    <row r="672" spans="1:25"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row>
    <row r="673" spans="1:25"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row>
    <row r="674" spans="1:25"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row>
    <row r="675" spans="1:2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row>
    <row r="676" spans="1:25"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row>
    <row r="677" spans="1:25"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row>
    <row r="678" spans="1:25"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row>
    <row r="679" spans="1:25"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row>
    <row r="680" spans="1:25"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row>
    <row r="681" spans="1:25"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row>
    <row r="682" spans="1:25"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row>
    <row r="683" spans="1:25"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row>
    <row r="684" spans="1:25"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row>
    <row r="685" spans="1:2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row>
    <row r="686" spans="1:25"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row>
    <row r="687" spans="1:25"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row>
    <row r="688" spans="1:25"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row>
    <row r="689" spans="1:25"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row>
    <row r="690" spans="1:25"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row>
    <row r="691" spans="1:25"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row>
    <row r="692" spans="1:25"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row>
    <row r="693" spans="1:25"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row>
    <row r="694" spans="1:25"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row>
    <row r="695" spans="1:2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row>
    <row r="696" spans="1:25"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row>
    <row r="697" spans="1:25"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row>
    <row r="698" spans="1:25"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row>
    <row r="699" spans="1:25"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row>
    <row r="700" spans="1:25"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row>
    <row r="701" spans="1:25"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row>
    <row r="702" spans="1:25"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row>
    <row r="703" spans="1:25"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row>
    <row r="704" spans="1:25"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row>
    <row r="705" spans="1:2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row>
    <row r="706" spans="1:25"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row>
    <row r="707" spans="1:25"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row>
    <row r="708" spans="1:25"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row>
    <row r="709" spans="1:25"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row>
    <row r="710" spans="1:25"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row>
    <row r="711" spans="1:25"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row>
    <row r="712" spans="1:25"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row>
    <row r="713" spans="1:25"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row>
    <row r="714" spans="1:25"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row>
    <row r="715" spans="1:2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row>
    <row r="716" spans="1:25"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row>
    <row r="717" spans="1:25"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row>
    <row r="718" spans="1:25"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row>
    <row r="719" spans="1:25"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row>
    <row r="720" spans="1:25"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row>
    <row r="721" spans="1:25"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row>
    <row r="722" spans="1:25"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row>
    <row r="723" spans="1:25"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row>
    <row r="724" spans="1:25"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row>
    <row r="725" spans="1: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row>
    <row r="726" spans="1:25"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row>
    <row r="727" spans="1:25"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row>
    <row r="728" spans="1:25"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row>
    <row r="729" spans="1:25"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row>
    <row r="730" spans="1:25"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row>
    <row r="731" spans="1:25"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row>
    <row r="732" spans="1:25"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row>
    <row r="733" spans="1:25"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row>
    <row r="734" spans="1:25"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row>
    <row r="735" spans="1:2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row>
    <row r="736" spans="1:25"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row>
    <row r="737" spans="1:25"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row>
    <row r="738" spans="1:25"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row>
    <row r="739" spans="1:25"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row>
    <row r="740" spans="1:25"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row>
    <row r="741" spans="1:25"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row>
    <row r="742" spans="1:25"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row>
    <row r="743" spans="1:25"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row>
    <row r="744" spans="1:25"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row>
    <row r="745" spans="1:2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row>
    <row r="746" spans="1:25"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row>
    <row r="747" spans="1:25"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row>
    <row r="748" spans="1:25"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row>
    <row r="749" spans="1:25"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row>
    <row r="750" spans="1:25"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row>
    <row r="751" spans="1:25"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row>
    <row r="752" spans="1:25"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row>
    <row r="753" spans="1:25"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row>
    <row r="754" spans="1:25"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row>
    <row r="755" spans="1:2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row>
    <row r="756" spans="1:25"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row>
    <row r="757" spans="1:25"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row>
    <row r="758" spans="1:25"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row>
    <row r="759" spans="1:25"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row>
    <row r="760" spans="1:25"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row>
    <row r="761" spans="1:25"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row>
    <row r="762" spans="1:25"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row>
    <row r="763" spans="1:25"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row>
    <row r="764" spans="1:25"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row>
    <row r="765" spans="1:2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row>
    <row r="766" spans="1:25"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row>
    <row r="767" spans="1:25"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row>
    <row r="768" spans="1:25"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row>
    <row r="769" spans="1:25"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row>
    <row r="770" spans="1:25"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row>
    <row r="771" spans="1:25"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row>
    <row r="772" spans="1:25"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row>
    <row r="773" spans="1:25"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row>
    <row r="774" spans="1:25"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row>
    <row r="775" spans="1:2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row>
    <row r="776" spans="1:25"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row>
    <row r="777" spans="1:25"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row>
    <row r="778" spans="1:25"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row>
    <row r="779" spans="1:25"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row>
    <row r="780" spans="1:25"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row>
    <row r="781" spans="1:25"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row>
    <row r="782" spans="1:25"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row>
    <row r="783" spans="1:25"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row>
    <row r="784" spans="1:25"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row>
    <row r="785" spans="1:2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row>
    <row r="786" spans="1:25"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row>
    <row r="787" spans="1:25"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row>
    <row r="788" spans="1:25"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row>
    <row r="789" spans="1:25"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row>
    <row r="790" spans="1:25"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row>
    <row r="791" spans="1:25"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row>
    <row r="792" spans="1:25"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row>
    <row r="793" spans="1:25"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row>
    <row r="794" spans="1:25"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row>
    <row r="795" spans="1:2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row>
    <row r="796" spans="1:25"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row>
    <row r="797" spans="1:25"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row>
    <row r="798" spans="1:25"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row>
    <row r="799" spans="1:25"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row>
    <row r="800" spans="1:25"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row>
    <row r="801" spans="1:25"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row>
    <row r="802" spans="1:25"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row>
    <row r="803" spans="1:25"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row>
    <row r="804" spans="1:25"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row>
    <row r="805" spans="1:2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row>
    <row r="806" spans="1:25"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row>
    <row r="807" spans="1:25"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row>
    <row r="808" spans="1:25"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row>
    <row r="809" spans="1:25"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row>
    <row r="810" spans="1:25"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row>
    <row r="811" spans="1:25"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row>
    <row r="812" spans="1:25"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row>
    <row r="813" spans="1:25"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row>
    <row r="814" spans="1:25"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row>
    <row r="815" spans="1:2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row>
    <row r="816" spans="1:25"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row>
    <row r="817" spans="1:25"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row>
    <row r="818" spans="1:25"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row>
    <row r="819" spans="1:25"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row>
    <row r="820" spans="1:25"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row>
    <row r="821" spans="1:25"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row>
    <row r="822" spans="1:25"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row>
    <row r="823" spans="1:25"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row>
    <row r="824" spans="1:25"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row>
    <row r="825" spans="1: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row>
    <row r="826" spans="1:25"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row>
    <row r="827" spans="1:25"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row>
    <row r="828" spans="1:25"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row>
    <row r="829" spans="1:25"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row>
    <row r="830" spans="1:25"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row>
    <row r="831" spans="1:25"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row>
    <row r="832" spans="1:25"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row>
    <row r="833" spans="1:25"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row>
    <row r="834" spans="1:25"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row>
    <row r="835" spans="1:2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row>
    <row r="836" spans="1:25"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row>
    <row r="837" spans="1:25"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row>
    <row r="838" spans="1:25"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row>
    <row r="839" spans="1:25"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row>
    <row r="840" spans="1:25"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row>
    <row r="841" spans="1:25"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row>
    <row r="842" spans="1:25"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row>
    <row r="843" spans="1:25"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row>
    <row r="844" spans="1:25"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row>
    <row r="845" spans="1:2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row>
    <row r="846" spans="1:25"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row>
    <row r="847" spans="1:25"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row>
    <row r="848" spans="1:25"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row>
    <row r="849" spans="1:25"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row>
    <row r="850" spans="1:25"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row>
    <row r="851" spans="1:25"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row>
    <row r="852" spans="1:25"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row>
    <row r="853" spans="1:25"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row>
    <row r="854" spans="1:25"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row>
    <row r="855" spans="1:2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row>
    <row r="856" spans="1:25"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row>
    <row r="857" spans="1:25"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row>
    <row r="858" spans="1:25"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row>
    <row r="859" spans="1:25"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row>
    <row r="860" spans="1:25"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row>
    <row r="861" spans="1:25"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row>
    <row r="862" spans="1:25"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row>
    <row r="863" spans="1:25"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row>
    <row r="864" spans="1:25"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row>
    <row r="865" spans="1:2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row>
    <row r="866" spans="1:25"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row>
    <row r="867" spans="1:25"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row>
    <row r="868" spans="1:25"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row>
    <row r="869" spans="1:25"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row>
    <row r="870" spans="1:25"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row>
    <row r="871" spans="1:25"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row>
    <row r="872" spans="1:25"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row>
    <row r="873" spans="1:25"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row>
    <row r="874" spans="1:25"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row>
    <row r="875" spans="1:2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row>
    <row r="876" spans="1:25"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row>
    <row r="877" spans="1:25"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row>
    <row r="878" spans="1:25"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row>
    <row r="879" spans="1:25"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row>
    <row r="880" spans="1:25"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row>
    <row r="881" spans="1:25"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row>
    <row r="882" spans="1:25"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row>
    <row r="883" spans="1:25"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row>
    <row r="884" spans="1:25"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row>
    <row r="885" spans="1:2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row>
    <row r="886" spans="1:25"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row>
    <row r="887" spans="1:25"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row>
    <row r="888" spans="1:25"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row>
    <row r="889" spans="1:25"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row>
    <row r="890" spans="1:25"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row>
    <row r="891" spans="1:25"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row>
    <row r="892" spans="1:25"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row>
    <row r="893" spans="1:25"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row>
    <row r="894" spans="1:25"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row>
    <row r="895" spans="1:2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row>
    <row r="896" spans="1:25"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row>
    <row r="897" spans="1:25"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row>
    <row r="898" spans="1:25"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row>
    <row r="899" spans="1:25"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row>
    <row r="900" spans="1:25"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row>
    <row r="901" spans="1:25"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row>
    <row r="902" spans="1:25"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row>
    <row r="903" spans="1:25"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row>
    <row r="904" spans="1:25"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row>
    <row r="905" spans="1:2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row>
    <row r="906" spans="1:25"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row>
    <row r="907" spans="1:25"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row>
    <row r="908" spans="1:25"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row>
    <row r="909" spans="1:25"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row>
    <row r="910" spans="1:25"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row>
    <row r="911" spans="1:25"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row>
    <row r="912" spans="1:25"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row>
    <row r="913" spans="1:25"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row>
    <row r="914" spans="1:25"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row>
    <row r="915" spans="1:2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row>
    <row r="916" spans="1:25"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row>
    <row r="917" spans="1:25"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row>
    <row r="918" spans="1:25"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row>
    <row r="919" spans="1:25"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row>
    <row r="920" spans="1:25"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row>
    <row r="921" spans="1:25"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row>
    <row r="922" spans="1:25"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row>
    <row r="923" spans="1:25"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row>
    <row r="924" spans="1:25"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row>
    <row r="925" spans="1: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row>
    <row r="926" spans="1:25"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row>
    <row r="927" spans="1:25"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row>
    <row r="928" spans="1:25"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row>
    <row r="929" spans="1:25"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row>
    <row r="930" spans="1:25"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row>
    <row r="931" spans="1:25"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row>
    <row r="932" spans="1:25"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row>
    <row r="933" spans="1:25"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row>
    <row r="934" spans="1:25"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row>
    <row r="935" spans="1:2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row>
    <row r="936" spans="1:25"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row>
    <row r="937" spans="1:25"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row>
    <row r="938" spans="1:25"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row>
    <row r="939" spans="1:25"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row>
    <row r="940" spans="1:25"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row>
    <row r="941" spans="1:25"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row>
    <row r="942" spans="1:25"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row>
    <row r="943" spans="1:25"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row>
    <row r="944" spans="1:25"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row>
    <row r="945" spans="1:2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row>
    <row r="946" spans="1:25"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row>
    <row r="947" spans="1:25"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row>
    <row r="948" spans="1:25"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row>
    <row r="949" spans="1:25"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row>
    <row r="950" spans="1:25"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row>
    <row r="951" spans="1:25"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row>
    <row r="952" spans="1:25"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row>
    <row r="953" spans="1:25"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row>
    <row r="954" spans="1:25"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row>
    <row r="955" spans="1:2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row>
    <row r="956" spans="1:25"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row>
    <row r="957" spans="1:25"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row>
    <row r="958" spans="1:25"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row>
    <row r="959" spans="1:25"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row>
    <row r="960" spans="1:25"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row>
    <row r="961" spans="1:25"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row>
    <row r="962" spans="1:25"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row>
    <row r="963" spans="1:25"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row>
    <row r="964" spans="1:25"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row>
    <row r="965" spans="1:2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row>
    <row r="966" spans="1:25"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row>
    <row r="967" spans="1:25"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row>
    <row r="968" spans="1:25"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row>
    <row r="969" spans="1:25"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row>
    <row r="970" spans="1:25"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row>
    <row r="971" spans="1:25"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row>
    <row r="972" spans="1:25"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row>
    <row r="973" spans="1:25"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row>
    <row r="974" spans="1:25"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row>
    <row r="975" spans="1:2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row>
    <row r="976" spans="1:25"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row>
    <row r="977" spans="1:25"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row>
    <row r="978" spans="1:25"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row>
    <row r="979" spans="1:25"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row>
    <row r="980" spans="1:25"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row>
    <row r="981" spans="1:25"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row>
    <row r="982" spans="1:25"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row>
    <row r="983" spans="1:25"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row>
    <row r="984" spans="1:25"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row>
    <row r="985" spans="1:2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row>
    <row r="986" spans="1:25"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row>
    <row r="987" spans="1:25"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row>
    <row r="988" spans="1:25"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row>
    <row r="989" spans="1:25"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row>
    <row r="990" spans="1:25"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row>
    <row r="991" spans="1:25"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row>
  </sheetData>
  <mergeCells count="3">
    <mergeCell ref="A2:B2"/>
    <mergeCell ref="A10:D10"/>
    <mergeCell ref="A14:D14"/>
  </mergeCells>
  <hyperlinks>
    <hyperlink ref="F7" r:id="rId1" xr:uid="{00000000-0004-0000-0300-000000000000}"/>
    <hyperlink ref="F8" r:id="rId2" xr:uid="{ACB07FED-1975-A140-A190-F6038C89976F}"/>
    <hyperlink ref="F6" r:id="rId3" xr:uid="{47EB33B6-60E1-B14C-AB28-3CC0D36A8AD9}"/>
  </hyperlink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Exhibit A</vt:lpstr>
      <vt:lpstr>Exhibit B</vt:lpstr>
      <vt:lpstr>Exhibit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Adit Kashyap</cp:lastModifiedBy>
  <cp:revision>0</cp:revision>
  <dcterms:created xsi:type="dcterms:W3CDTF">2026-07-18T20:11:49Z</dcterms:created>
  <dcterms:modified xsi:type="dcterms:W3CDTF">2026-08-09T20:02:01Z</dcterms:modified>
  <dc:language>en-US</dc:language>
</cp:coreProperties>
</file>